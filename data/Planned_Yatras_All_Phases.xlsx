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Yatras" sheetId="1" state="visible" r:id="rId3"/>
    <sheet name="Phase 1 (Oct-Nov 2026)" sheetId="2" state="visible" r:id="rId4"/>
    <sheet name="Phase 2 (Jan-Mar 2027)" sheetId="3" state="visible" r:id="rId5"/>
    <sheet name="Phase 3 Clusters (Mar 2027)" sheetId="4" state="visible" r:id="rId6"/>
    <sheet name="Summary" sheetId="5" state="visible" r:id="rId7"/>
  </sheets>
  <definedNames>
    <definedName function="false" hidden="true" localSheetId="0" name="_xlnm._FilterDatabase" vbProcedure="false">'All Yatras'!$A$1:$Y$77</definedName>
    <definedName function="false" hidden="true" localSheetId="1" name="_xlnm._FilterDatabase" vbProcedure="false">'Phase 1 (Oct-Nov 2026)'!$A$1:$V$25</definedName>
    <definedName function="false" hidden="true" localSheetId="2" name="_xlnm._FilterDatabase" vbProcedure="false">'Phase 2 (Jan-Mar 2027)'!$A$1:$V$35</definedName>
    <definedName function="false" hidden="true" localSheetId="3" name="_xlnm._FilterDatabase" vbProcedure="false">'Phase 3 Clusters (Mar 2027)'!$A$1:$W$21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<sst xmlns="http://schemas.openxmlformats.org/spreadsheetml/2006/main" count="1519" uniqueCount="158">
  <si>
    <t xml:space="preserve">Phase</t>
  </si>
  <si>
    <t xml:space="preserve">Yatra #</t>
  </si>
  <si>
    <t xml:space="preserve">Event Date</t>
  </si>
  <si>
    <t xml:space="preserve">Day</t>
  </si>
  <si>
    <t xml:space="preserve">Time</t>
  </si>
  <si>
    <t xml:space="preserve">Rath / Mode</t>
  </si>
  <si>
    <t xml:space="preserve">Cluster</t>
  </si>
  <si>
    <t xml:space="preserve">Role</t>
  </si>
  <si>
    <t xml:space="preserve">Mandal</t>
  </si>
  <si>
    <t xml:space="preserve">District</t>
  </si>
  <si>
    <t xml:space="preserve">Zone</t>
  </si>
  <si>
    <t xml:space="preserve">Tier</t>
  </si>
  <si>
    <t xml:space="preserve">Visit Type</t>
  </si>
  <si>
    <t xml:space="preserve">PM-JAY Universe</t>
  </si>
  <si>
    <t xml:space="preserve">NABH Total</t>
  </si>
  <si>
    <t xml:space="preserve">Certified</t>
  </si>
  <si>
    <t xml:space="preserve">Accredited</t>
  </si>
  <si>
    <t xml:space="preserve">Potential Gap</t>
  </si>
  <si>
    <t xml:space="preserve">% Potential</t>
  </si>
  <si>
    <t xml:space="preserve">Yatras Conducted</t>
  </si>
  <si>
    <t xml:space="preserve">Attended</t>
  </si>
  <si>
    <t xml:space="preserve">Won</t>
  </si>
  <si>
    <t xml:space="preserve">Application in Progress</t>
  </si>
  <si>
    <t xml:space="preserve">Hot</t>
  </si>
  <si>
    <t xml:space="preserve">Warm</t>
  </si>
  <si>
    <t xml:space="preserve">TOTAL</t>
  </si>
  <si>
    <t xml:space="preserve">63 yatras</t>
  </si>
  <si>
    <t xml:space="preserve">75 districts</t>
  </si>
  <si>
    <t xml:space="preserve">Phase 1</t>
  </si>
  <si>
    <t xml:space="preserve">Friday</t>
  </si>
  <si>
    <t xml:space="preserve">4 PM - 8 PM</t>
  </si>
  <si>
    <t xml:space="preserve">Launch (Rath A + B)</t>
  </si>
  <si>
    <t xml:space="preserve">Host</t>
  </si>
  <si>
    <t xml:space="preserve">Gorakhpur</t>
  </si>
  <si>
    <t xml:space="preserve">Eastern UP</t>
  </si>
  <si>
    <t xml:space="preserve">Tier 3</t>
  </si>
  <si>
    <t xml:space="preserve">Follow-up</t>
  </si>
  <si>
    <t xml:space="preserve">Wednesday</t>
  </si>
  <si>
    <t xml:space="preserve">Rath A</t>
  </si>
  <si>
    <t xml:space="preserve">Bareilly</t>
  </si>
  <si>
    <t xml:space="preserve">Western UP</t>
  </si>
  <si>
    <t xml:space="preserve">New</t>
  </si>
  <si>
    <t xml:space="preserve">Rath B</t>
  </si>
  <si>
    <t xml:space="preserve">Kushi Nagar</t>
  </si>
  <si>
    <t xml:space="preserve">Moradabad</t>
  </si>
  <si>
    <t xml:space="preserve">Maharajganj</t>
  </si>
  <si>
    <t xml:space="preserve">Bijnor</t>
  </si>
  <si>
    <t xml:space="preserve">Basti</t>
  </si>
  <si>
    <t xml:space="preserve">Sant Kabir Nagar</t>
  </si>
  <si>
    <t xml:space="preserve">Saharanpur</t>
  </si>
  <si>
    <t xml:space="preserve">Muzaffarnagar</t>
  </si>
  <si>
    <t xml:space="preserve">Ayodhya</t>
  </si>
  <si>
    <t xml:space="preserve">Barabanki</t>
  </si>
  <si>
    <t xml:space="preserve">Shamli</t>
  </si>
  <si>
    <t xml:space="preserve">Lucknow</t>
  </si>
  <si>
    <t xml:space="preserve">Lakhimpur Kheri</t>
  </si>
  <si>
    <t xml:space="preserve">Central UP</t>
  </si>
  <si>
    <t xml:space="preserve">Meerut</t>
  </si>
  <si>
    <t xml:space="preserve">Bulandshahar</t>
  </si>
  <si>
    <t xml:space="preserve">Prayagraj</t>
  </si>
  <si>
    <t xml:space="preserve">Hapur</t>
  </si>
  <si>
    <t xml:space="preserve">Vindhyachal</t>
  </si>
  <si>
    <t xml:space="preserve">Mirzapur</t>
  </si>
  <si>
    <t xml:space="preserve">Aligarh</t>
  </si>
  <si>
    <t xml:space="preserve">Bhadohi</t>
  </si>
  <si>
    <t xml:space="preserve">Kanpur</t>
  </si>
  <si>
    <t xml:space="preserve">Kanpur Nagar</t>
  </si>
  <si>
    <t xml:space="preserve">Tier 2</t>
  </si>
  <si>
    <t xml:space="preserve">Varanasi</t>
  </si>
  <si>
    <t xml:space="preserve">Chandauli</t>
  </si>
  <si>
    <t xml:space="preserve">Jhansi</t>
  </si>
  <si>
    <t xml:space="preserve">Bundelkhand (South UP)</t>
  </si>
  <si>
    <t xml:space="preserve">Azamgarh</t>
  </si>
  <si>
    <t xml:space="preserve">Mau</t>
  </si>
  <si>
    <t xml:space="preserve">Phase 2</t>
  </si>
  <si>
    <t xml:space="preserve">Jaunpur</t>
  </si>
  <si>
    <t xml:space="preserve">Deoria</t>
  </si>
  <si>
    <t xml:space="preserve">Agra</t>
  </si>
  <si>
    <t xml:space="preserve">Ambedkar Nagar</t>
  </si>
  <si>
    <t xml:space="preserve">Mathura</t>
  </si>
  <si>
    <t xml:space="preserve">Pilibhit</t>
  </si>
  <si>
    <t xml:space="preserve">Sultanpur</t>
  </si>
  <si>
    <t xml:space="preserve">Shahjahanpur</t>
  </si>
  <si>
    <t xml:space="preserve">Amethi</t>
  </si>
  <si>
    <t xml:space="preserve">Rampur</t>
  </si>
  <si>
    <t xml:space="preserve">Devipatan</t>
  </si>
  <si>
    <t xml:space="preserve">Gonda</t>
  </si>
  <si>
    <t xml:space="preserve">Amroha</t>
  </si>
  <si>
    <t xml:space="preserve">Baghpat</t>
  </si>
  <si>
    <t xml:space="preserve">Hardoi</t>
  </si>
  <si>
    <t xml:space="preserve">Sitapur</t>
  </si>
  <si>
    <t xml:space="preserve">Ghazipur</t>
  </si>
  <si>
    <t xml:space="preserve">Kanpur Dehat</t>
  </si>
  <si>
    <t xml:space="preserve">Ballia</t>
  </si>
  <si>
    <t xml:space="preserve">Etawah</t>
  </si>
  <si>
    <t xml:space="preserve">Sonbhadra</t>
  </si>
  <si>
    <t xml:space="preserve">Mainpuri</t>
  </si>
  <si>
    <t xml:space="preserve">Bahraich</t>
  </si>
  <si>
    <t xml:space="preserve">Firozabad</t>
  </si>
  <si>
    <t xml:space="preserve">Siddharth Nagar</t>
  </si>
  <si>
    <t xml:space="preserve">Fatehpur</t>
  </si>
  <si>
    <t xml:space="preserve">Ghaziabad</t>
  </si>
  <si>
    <t xml:space="preserve">Unnao</t>
  </si>
  <si>
    <t xml:space="preserve">Gautam Buddha Nagar</t>
  </si>
  <si>
    <t xml:space="preserve">Phase 3</t>
  </si>
  <si>
    <t xml:space="preserve">Cluster Yatra</t>
  </si>
  <si>
    <t xml:space="preserve">Hathras Cluster</t>
  </si>
  <si>
    <t xml:space="preserve">Hathras</t>
  </si>
  <si>
    <t xml:space="preserve">Cluster district</t>
  </si>
  <si>
    <t xml:space="preserve">Etah</t>
  </si>
  <si>
    <t xml:space="preserve">Kasganj</t>
  </si>
  <si>
    <t xml:space="preserve">Pratapgarh Cluster</t>
  </si>
  <si>
    <t xml:space="preserve">Pratapgarh</t>
  </si>
  <si>
    <t xml:space="preserve">Rae Bareli</t>
  </si>
  <si>
    <t xml:space="preserve">Kaushambi</t>
  </si>
  <si>
    <t xml:space="preserve">Farrukhabad Cluster</t>
  </si>
  <si>
    <t xml:space="preserve">Farrukhabad</t>
  </si>
  <si>
    <t xml:space="preserve">Kannauj</t>
  </si>
  <si>
    <t xml:space="preserve">Auraiya</t>
  </si>
  <si>
    <t xml:space="preserve">Balrampur Cluster</t>
  </si>
  <si>
    <t xml:space="preserve">Balrampur</t>
  </si>
  <si>
    <t xml:space="preserve">Shravasti</t>
  </si>
  <si>
    <t xml:space="preserve">Budaun Cluster</t>
  </si>
  <si>
    <t xml:space="preserve">Budaun</t>
  </si>
  <si>
    <t xml:space="preserve">Sambhal</t>
  </si>
  <si>
    <t xml:space="preserve">Orai (Jalaun) Cluster</t>
  </si>
  <si>
    <t xml:space="preserve">Jalaun</t>
  </si>
  <si>
    <t xml:space="preserve">Lalitpur</t>
  </si>
  <si>
    <t xml:space="preserve">Banda Cluster</t>
  </si>
  <si>
    <t xml:space="preserve">Chitrakoot</t>
  </si>
  <si>
    <t xml:space="preserve">Banda</t>
  </si>
  <si>
    <t xml:space="preserve">Mahoba</t>
  </si>
  <si>
    <t xml:space="preserve">Hamirpur</t>
  </si>
  <si>
    <t xml:space="preserve">Rath</t>
  </si>
  <si>
    <t xml:space="preserve">23 districts</t>
  </si>
  <si>
    <t xml:space="preserve">Source: UP GY district schedule finalised 15 Sep 2026; hospital figures from 'Updated District List data.xlsx' -&gt; (VF) Final Sheet. 23 workshops, 12 event days, two Raths in parallel on every date after the 09 Oct Gorakhpur launch. All sessions: Entry Level Certification, 4 PM - 8 PM.</t>
  </si>
  <si>
    <t xml:space="preserve">33 districts</t>
  </si>
  <si>
    <t xml:space="preserve">Source: UP GY Phase 2 plan. Selection: 70% potential on the absolute NABH gap (PM-JAY Universe - NABH Total) + 30% leads (Hot + Application in Progress). Districts with PM-JAY universe under 15 held for Phase 3. Ghaziabad and Gautam Buddha Nagar placed last (negative gap). Rath A/B assigned by order within each date.</t>
  </si>
  <si>
    <t xml:space="preserve">19 districts</t>
  </si>
  <si>
    <t xml:space="preserve">Source: UP GY Phase 3 plan. 19 low-universe districts (PM-JAY universe under 15) grouped into 7 cluster yatras, each hosted at the first district named. 31 Mar 2027 held as reserve date / state-level Gunvatta Manthan and certification ceremony.</t>
  </si>
  <si>
    <t xml:space="preserve">Window</t>
  </si>
  <si>
    <t xml:space="preserve">Yatras</t>
  </si>
  <si>
    <t xml:space="preserve">Districts</t>
  </si>
  <si>
    <t xml:space="preserve">Hot Leads</t>
  </si>
  <si>
    <t xml:space="preserve">Warm Leads</t>
  </si>
  <si>
    <t xml:space="preserve">TOTAL (all phases)</t>
  </si>
  <si>
    <t xml:space="preserve">09 Oct 2026 - 24 Mar 2027</t>
  </si>
  <si>
    <t xml:space="preserve">09 Oct - 27 Nov 2026</t>
  </si>
  <si>
    <t xml:space="preserve">06 Jan - 03 Mar 2027</t>
  </si>
  <si>
    <t xml:space="preserve">05 Mar - 24 Mar 2027</t>
  </si>
  <si>
    <t xml:space="preserve">Notes</t>
  </si>
  <si>
    <t xml:space="preserve">All sessions: NABH Entry Level Certification workshop, 4 PM - 8 PM.</t>
  </si>
  <si>
    <t xml:space="preserve">Hospital and lead figures are from 'Updated District List data.xlsx' -&gt; sheet '(VF) Final Sheet' (75 districts).</t>
  </si>
  <si>
    <t xml:space="preserve">Potential Gap = PM-JAY Universe - NABH Total. Gautam Buddha Nagar (-69) and Ghaziabad (-55) have a negative gap.</t>
  </si>
  <si>
    <t xml:space="preserve">Lead stages: Won = already NABH certified/accredited; Application in Progress; Hot = will take NABH within 6 months; Warm = 6-12 months.</t>
  </si>
  <si>
    <t xml:space="preserve">Visit Type: 'Follow-up' = a yatra has already been conducted in that district; 'New' = first visit.</t>
  </si>
  <si>
    <t xml:space="preserve">Phase 1 + Phase 2 + Phase 3 = 75 districts, no district counted twice. 63 yatras in total.</t>
  </si>
  <si>
    <t xml:space="preserve">State universe: 3,650 PM-JAY empanelled hospitals; NABH 1,404 (955 certified + 449 accredited); potential gap 2,246.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</si>
</sst>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dd\-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800080"/>
        <bgColor rgb="FF800080"/>
      </patternFill>
    </fill>
    <fill>
      <patternFill patternType="solid">
        <fgColor rgb="FFDFDFDF"/>
        <bgColor rgb="FFE8F0FB"/>
      </patternFill>
    </fill>
    <fill>
      <patternFill patternType="solid">
        <fgColor rgb="FFFDEBD0"/>
        <bgColor rgb="FFEAF4EA"/>
      </patternFill>
    </fill>
    <fill>
      <patternFill patternType="solid">
        <fgColor rgb="FFE8F0FB"/>
        <bgColor rgb="FFEAF4EA"/>
      </patternFill>
    </fill>
    <fill>
      <patternFill patternType="solid">
        <fgColor rgb="FFEAF4EA"/>
        <bgColor rgb="FFE8F0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800080"/>
          <bgColor rgb="FF000000"/>
        </patternFill>
      </fill>
    </dxf>
    <dxf>
      <fill>
        <patternFill patternType="solid">
          <fgColor rgb="FFDFDFDF"/>
          <bgColor rgb="FF000000"/>
        </patternFill>
      </fill>
    </dxf>
    <dxf>
      <fill>
        <patternFill patternType="solid">
          <fgColor rgb="FFE8F0FB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BD0"/>
      <rgbColor rgb="FFE8F0FB"/>
      <rgbColor rgb="FF660066"/>
      <rgbColor rgb="FFFF8080"/>
      <rgbColor rgb="FF0066CC"/>
      <rgbColor rgb="FFDFDF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4E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3"/>
    <col collapsed="false" customWidth="true" hidden="false" outlineLevel="0" max="7" min="7" style="0" width="20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4"/>
    <col collapsed="false" customWidth="true" hidden="false" outlineLevel="0" max="12" min="12" style="0" width="8"/>
    <col collapsed="false" customWidth="true" hidden="false" outlineLevel="0" max="13" min="13" style="0" width="1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10"/>
    <col collapsed="false" customWidth="true" hidden="false" outlineLevel="0" max="19" min="17" style="0" width="11"/>
    <col collapsed="false" customWidth="true" hidden="false" outlineLevel="0" max="20" min="20" style="0" width="12"/>
    <col collapsed="false" customWidth="true" hidden="false" outlineLevel="0" max="21" min="21" style="0" width="10"/>
    <col collapsed="false" customWidth="true" hidden="false" outlineLevel="0" max="22" min="22" style="0" width="8"/>
    <col collapsed="false" customWidth="true" hidden="false" outlineLevel="0" max="23" min="23" style="0" width="13"/>
    <col collapsed="false" customWidth="true" hidden="false" outlineLevel="0" max="25" min="24" style="0" width="8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3" t="s">
        <v>26</v>
      </c>
      <c r="C2" s="3"/>
      <c r="D2" s="3"/>
      <c r="E2" s="3"/>
      <c r="F2" s="3"/>
      <c r="G2" s="3"/>
      <c r="H2" s="3"/>
      <c r="I2" s="3"/>
      <c r="J2" s="3" t="s">
        <v>27</v>
      </c>
      <c r="K2" s="3"/>
      <c r="L2" s="3"/>
      <c r="M2" s="3"/>
      <c r="N2" s="4" t="n">
        <f aca="false">SUM(N3:N77)</f>
        <v>3650</v>
      </c>
      <c r="O2" s="4" t="n">
        <f aca="false">SUM(O3:O77)</f>
        <v>1404</v>
      </c>
      <c r="P2" s="4" t="n">
        <f aca="false">SUM(P3:P77)</f>
        <v>955</v>
      </c>
      <c r="Q2" s="4" t="n">
        <f aca="false">SUM(Q3:Q77)</f>
        <v>449</v>
      </c>
      <c r="R2" s="4" t="n">
        <f aca="false">SUM(R3:R77)</f>
        <v>2246</v>
      </c>
      <c r="S2" s="5" t="n">
        <f aca="false">IF(N2=0,0,R2/N2)</f>
        <v>0.615342465753425</v>
      </c>
      <c r="T2" s="4" t="n">
        <f aca="false">SUM(T3:T77)</f>
        <v>25</v>
      </c>
      <c r="U2" s="4" t="n">
        <f aca="false">SUM(U3:U77)</f>
        <v>509</v>
      </c>
      <c r="V2" s="4" t="n">
        <f aca="false">SUM(V3:V77)</f>
        <v>22</v>
      </c>
      <c r="W2" s="4" t="n">
        <f aca="false">SUM(W3:W77)</f>
        <v>22</v>
      </c>
      <c r="X2" s="4" t="n">
        <f aca="false">SUM(X3:X77)</f>
        <v>71</v>
      </c>
      <c r="Y2" s="4" t="n">
        <f aca="false">SUM(Y3:Y77)</f>
        <v>25</v>
      </c>
    </row>
    <row r="3" customFormat="false" ht="15" hidden="false" customHeight="false" outlineLevel="0" collapsed="false">
      <c r="A3" s="6" t="s">
        <v>28</v>
      </c>
      <c r="B3" s="7" t="n">
        <v>1</v>
      </c>
      <c r="C3" s="8" t="n">
        <v>46304</v>
      </c>
      <c r="D3" s="9" t="s">
        <v>29</v>
      </c>
      <c r="E3" s="9" t="s">
        <v>30</v>
      </c>
      <c r="F3" s="9" t="s">
        <v>31</v>
      </c>
      <c r="G3" s="9"/>
      <c r="H3" s="9" t="s">
        <v>32</v>
      </c>
      <c r="I3" s="9" t="s">
        <v>33</v>
      </c>
      <c r="J3" s="9" t="s">
        <v>33</v>
      </c>
      <c r="K3" s="9" t="s">
        <v>34</v>
      </c>
      <c r="L3" s="9" t="s">
        <v>35</v>
      </c>
      <c r="M3" s="9" t="s">
        <v>36</v>
      </c>
      <c r="N3" s="7" t="n">
        <v>211</v>
      </c>
      <c r="O3" s="7" t="n">
        <v>68</v>
      </c>
      <c r="P3" s="7" t="n">
        <v>58</v>
      </c>
      <c r="Q3" s="7" t="n">
        <v>10</v>
      </c>
      <c r="R3" s="7" t="n">
        <v>143</v>
      </c>
      <c r="S3" s="10" t="n">
        <f aca="false">IF(N3=0,0,R3/N3)</f>
        <v>0.677725118483412</v>
      </c>
      <c r="T3" s="7" t="n">
        <v>3</v>
      </c>
      <c r="U3" s="7" t="n">
        <v>74</v>
      </c>
      <c r="V3" s="7" t="n">
        <v>6</v>
      </c>
      <c r="W3" s="7" t="n">
        <v>1</v>
      </c>
      <c r="X3" s="7" t="n">
        <v>24</v>
      </c>
      <c r="Y3" s="7" t="n">
        <v>3</v>
      </c>
    </row>
    <row r="4" customFormat="false" ht="15" hidden="false" customHeight="false" outlineLevel="0" collapsed="false">
      <c r="A4" s="6" t="s">
        <v>28</v>
      </c>
      <c r="B4" s="7" t="n">
        <v>2</v>
      </c>
      <c r="C4" s="8" t="n">
        <v>46309</v>
      </c>
      <c r="D4" s="9" t="s">
        <v>37</v>
      </c>
      <c r="E4" s="9" t="s">
        <v>30</v>
      </c>
      <c r="F4" s="9" t="s">
        <v>38</v>
      </c>
      <c r="G4" s="9"/>
      <c r="H4" s="9" t="s">
        <v>32</v>
      </c>
      <c r="I4" s="9" t="s">
        <v>39</v>
      </c>
      <c r="J4" s="9" t="s">
        <v>39</v>
      </c>
      <c r="K4" s="9" t="s">
        <v>40</v>
      </c>
      <c r="L4" s="9" t="s">
        <v>35</v>
      </c>
      <c r="M4" s="9" t="s">
        <v>41</v>
      </c>
      <c r="N4" s="7" t="n">
        <v>211</v>
      </c>
      <c r="O4" s="7" t="n">
        <v>90</v>
      </c>
      <c r="P4" s="7" t="n">
        <v>57</v>
      </c>
      <c r="Q4" s="7" t="n">
        <v>33</v>
      </c>
      <c r="R4" s="7" t="n">
        <v>121</v>
      </c>
      <c r="S4" s="10" t="n">
        <f aca="false">IF(N4=0,0,R4/N4)</f>
        <v>0.573459715639811</v>
      </c>
      <c r="T4" s="7"/>
      <c r="U4" s="7"/>
      <c r="V4" s="7"/>
      <c r="W4" s="7"/>
      <c r="X4" s="7"/>
      <c r="Y4" s="7"/>
    </row>
    <row r="5" customFormat="false" ht="15" hidden="false" customHeight="false" outlineLevel="0" collapsed="false">
      <c r="A5" s="6" t="s">
        <v>28</v>
      </c>
      <c r="B5" s="7" t="n">
        <v>3</v>
      </c>
      <c r="C5" s="8" t="n">
        <v>46309</v>
      </c>
      <c r="D5" s="9" t="s">
        <v>37</v>
      </c>
      <c r="E5" s="9" t="s">
        <v>30</v>
      </c>
      <c r="F5" s="9" t="s">
        <v>42</v>
      </c>
      <c r="G5" s="9"/>
      <c r="H5" s="9" t="s">
        <v>32</v>
      </c>
      <c r="I5" s="9" t="s">
        <v>33</v>
      </c>
      <c r="J5" s="9" t="s">
        <v>43</v>
      </c>
      <c r="K5" s="9" t="s">
        <v>34</v>
      </c>
      <c r="L5" s="9" t="s">
        <v>35</v>
      </c>
      <c r="M5" s="9" t="s">
        <v>41</v>
      </c>
      <c r="N5" s="7" t="n">
        <v>47</v>
      </c>
      <c r="O5" s="7" t="n">
        <v>3</v>
      </c>
      <c r="P5" s="7" t="n">
        <v>3</v>
      </c>
      <c r="Q5" s="7" t="n">
        <v>0</v>
      </c>
      <c r="R5" s="7" t="n">
        <v>44</v>
      </c>
      <c r="S5" s="10" t="n">
        <f aca="false">IF(N5=0,0,R5/N5)</f>
        <v>0.936170212765958</v>
      </c>
      <c r="T5" s="7"/>
      <c r="U5" s="7"/>
      <c r="V5" s="7"/>
      <c r="W5" s="7"/>
      <c r="X5" s="7"/>
      <c r="Y5" s="7"/>
    </row>
    <row r="6" customFormat="false" ht="15" hidden="false" customHeight="false" outlineLevel="0" collapsed="false">
      <c r="A6" s="6" t="s">
        <v>28</v>
      </c>
      <c r="B6" s="7" t="n">
        <v>4</v>
      </c>
      <c r="C6" s="8" t="n">
        <v>46311</v>
      </c>
      <c r="D6" s="9" t="s">
        <v>29</v>
      </c>
      <c r="E6" s="9" t="s">
        <v>30</v>
      </c>
      <c r="F6" s="9" t="s">
        <v>38</v>
      </c>
      <c r="G6" s="9"/>
      <c r="H6" s="9" t="s">
        <v>32</v>
      </c>
      <c r="I6" s="9" t="s">
        <v>44</v>
      </c>
      <c r="J6" s="9" t="s">
        <v>44</v>
      </c>
      <c r="K6" s="9" t="s">
        <v>40</v>
      </c>
      <c r="L6" s="9" t="s">
        <v>35</v>
      </c>
      <c r="M6" s="9" t="s">
        <v>41</v>
      </c>
      <c r="N6" s="7" t="n">
        <v>103</v>
      </c>
      <c r="O6" s="7" t="n">
        <v>40</v>
      </c>
      <c r="P6" s="7" t="n">
        <v>26</v>
      </c>
      <c r="Q6" s="7" t="n">
        <v>14</v>
      </c>
      <c r="R6" s="7" t="n">
        <v>63</v>
      </c>
      <c r="S6" s="10" t="n">
        <f aca="false">IF(N6=0,0,R6/N6)</f>
        <v>0.611650485436893</v>
      </c>
      <c r="T6" s="7"/>
      <c r="U6" s="7"/>
      <c r="V6" s="7"/>
      <c r="W6" s="7"/>
      <c r="X6" s="7"/>
      <c r="Y6" s="7"/>
    </row>
    <row r="7" customFormat="false" ht="15" hidden="false" customHeight="false" outlineLevel="0" collapsed="false">
      <c r="A7" s="6" t="s">
        <v>28</v>
      </c>
      <c r="B7" s="7" t="n">
        <v>5</v>
      </c>
      <c r="C7" s="8" t="n">
        <v>46311</v>
      </c>
      <c r="D7" s="9" t="s">
        <v>29</v>
      </c>
      <c r="E7" s="9" t="s">
        <v>30</v>
      </c>
      <c r="F7" s="9" t="s">
        <v>42</v>
      </c>
      <c r="G7" s="9"/>
      <c r="H7" s="9" t="s">
        <v>32</v>
      </c>
      <c r="I7" s="9" t="s">
        <v>33</v>
      </c>
      <c r="J7" s="9" t="s">
        <v>45</v>
      </c>
      <c r="K7" s="9" t="s">
        <v>34</v>
      </c>
      <c r="L7" s="9" t="s">
        <v>35</v>
      </c>
      <c r="M7" s="9" t="s">
        <v>41</v>
      </c>
      <c r="N7" s="7" t="n">
        <v>24</v>
      </c>
      <c r="O7" s="7" t="n">
        <v>1</v>
      </c>
      <c r="P7" s="7" t="n">
        <v>1</v>
      </c>
      <c r="Q7" s="7" t="n">
        <v>0</v>
      </c>
      <c r="R7" s="7" t="n">
        <v>23</v>
      </c>
      <c r="S7" s="10" t="n">
        <f aca="false">IF(N7=0,0,R7/N7)</f>
        <v>0.958333333333333</v>
      </c>
      <c r="T7" s="7"/>
      <c r="U7" s="7"/>
      <c r="V7" s="7"/>
      <c r="W7" s="7"/>
      <c r="X7" s="7"/>
      <c r="Y7" s="7"/>
    </row>
    <row r="8" customFormat="false" ht="15" hidden="false" customHeight="false" outlineLevel="0" collapsed="false">
      <c r="A8" s="6" t="s">
        <v>28</v>
      </c>
      <c r="B8" s="7" t="n">
        <v>6</v>
      </c>
      <c r="C8" s="8" t="n">
        <v>46318</v>
      </c>
      <c r="D8" s="9" t="s">
        <v>29</v>
      </c>
      <c r="E8" s="9" t="s">
        <v>30</v>
      </c>
      <c r="F8" s="9" t="s">
        <v>38</v>
      </c>
      <c r="G8" s="9"/>
      <c r="H8" s="9" t="s">
        <v>32</v>
      </c>
      <c r="I8" s="9" t="s">
        <v>44</v>
      </c>
      <c r="J8" s="9" t="s">
        <v>46</v>
      </c>
      <c r="K8" s="9" t="s">
        <v>40</v>
      </c>
      <c r="L8" s="9" t="s">
        <v>35</v>
      </c>
      <c r="M8" s="9" t="s">
        <v>41</v>
      </c>
      <c r="N8" s="7" t="n">
        <v>91</v>
      </c>
      <c r="O8" s="7" t="n">
        <v>21</v>
      </c>
      <c r="P8" s="7" t="n">
        <v>21</v>
      </c>
      <c r="Q8" s="7" t="n">
        <v>0</v>
      </c>
      <c r="R8" s="7" t="n">
        <v>70</v>
      </c>
      <c r="S8" s="10" t="n">
        <f aca="false">IF(N8=0,0,R8/N8)</f>
        <v>0.769230769230769</v>
      </c>
      <c r="T8" s="7"/>
      <c r="U8" s="7"/>
      <c r="V8" s="7"/>
      <c r="W8" s="7"/>
      <c r="X8" s="7"/>
      <c r="Y8" s="7"/>
    </row>
    <row r="9" customFormat="false" ht="15" hidden="false" customHeight="false" outlineLevel="0" collapsed="false">
      <c r="A9" s="6" t="s">
        <v>28</v>
      </c>
      <c r="B9" s="7" t="n">
        <v>7</v>
      </c>
      <c r="C9" s="8" t="n">
        <v>46318</v>
      </c>
      <c r="D9" s="9" t="s">
        <v>29</v>
      </c>
      <c r="E9" s="9" t="s">
        <v>30</v>
      </c>
      <c r="F9" s="9" t="s">
        <v>42</v>
      </c>
      <c r="G9" s="9"/>
      <c r="H9" s="9" t="s">
        <v>32</v>
      </c>
      <c r="I9" s="9" t="s">
        <v>47</v>
      </c>
      <c r="J9" s="9" t="s">
        <v>48</v>
      </c>
      <c r="K9" s="9" t="s">
        <v>34</v>
      </c>
      <c r="L9" s="9" t="s">
        <v>35</v>
      </c>
      <c r="M9" s="9" t="s">
        <v>41</v>
      </c>
      <c r="N9" s="7" t="n">
        <v>46</v>
      </c>
      <c r="O9" s="7" t="n">
        <v>7</v>
      </c>
      <c r="P9" s="7" t="n">
        <v>7</v>
      </c>
      <c r="Q9" s="7" t="n">
        <v>0</v>
      </c>
      <c r="R9" s="7" t="n">
        <v>39</v>
      </c>
      <c r="S9" s="10" t="n">
        <f aca="false">IF(N9=0,0,R9/N9)</f>
        <v>0.847826086956522</v>
      </c>
      <c r="T9" s="7"/>
      <c r="U9" s="7"/>
      <c r="V9" s="7"/>
      <c r="W9" s="7"/>
      <c r="X9" s="7"/>
      <c r="Y9" s="7"/>
    </row>
    <row r="10" customFormat="false" ht="15" hidden="false" customHeight="false" outlineLevel="0" collapsed="false">
      <c r="A10" s="6" t="s">
        <v>28</v>
      </c>
      <c r="B10" s="7" t="n">
        <v>8</v>
      </c>
      <c r="C10" s="8" t="n">
        <v>46323</v>
      </c>
      <c r="D10" s="9" t="s">
        <v>37</v>
      </c>
      <c r="E10" s="9" t="s">
        <v>30</v>
      </c>
      <c r="F10" s="9" t="s">
        <v>38</v>
      </c>
      <c r="G10" s="9"/>
      <c r="H10" s="9" t="s">
        <v>32</v>
      </c>
      <c r="I10" s="9" t="s">
        <v>49</v>
      </c>
      <c r="J10" s="9" t="s">
        <v>50</v>
      </c>
      <c r="K10" s="9" t="s">
        <v>40</v>
      </c>
      <c r="L10" s="9" t="s">
        <v>35</v>
      </c>
      <c r="M10" s="9" t="s">
        <v>41</v>
      </c>
      <c r="N10" s="7" t="n">
        <v>44</v>
      </c>
      <c r="O10" s="7" t="n">
        <v>21</v>
      </c>
      <c r="P10" s="7" t="n">
        <v>19</v>
      </c>
      <c r="Q10" s="7" t="n">
        <v>2</v>
      </c>
      <c r="R10" s="7" t="n">
        <v>23</v>
      </c>
      <c r="S10" s="10" t="n">
        <f aca="false">IF(N10=0,0,R10/N10)</f>
        <v>0.522727272727273</v>
      </c>
      <c r="T10" s="7"/>
      <c r="U10" s="7"/>
      <c r="V10" s="7"/>
      <c r="W10" s="7"/>
      <c r="X10" s="7"/>
      <c r="Y10" s="7"/>
    </row>
    <row r="11" customFormat="false" ht="15" hidden="false" customHeight="false" outlineLevel="0" collapsed="false">
      <c r="A11" s="6" t="s">
        <v>28</v>
      </c>
      <c r="B11" s="7" t="n">
        <v>9</v>
      </c>
      <c r="C11" s="8" t="n">
        <v>46323</v>
      </c>
      <c r="D11" s="9" t="s">
        <v>37</v>
      </c>
      <c r="E11" s="9" t="s">
        <v>30</v>
      </c>
      <c r="F11" s="9" t="s">
        <v>42</v>
      </c>
      <c r="G11" s="9"/>
      <c r="H11" s="9" t="s">
        <v>32</v>
      </c>
      <c r="I11" s="9" t="s">
        <v>47</v>
      </c>
      <c r="J11" s="9" t="s">
        <v>47</v>
      </c>
      <c r="K11" s="9" t="s">
        <v>34</v>
      </c>
      <c r="L11" s="9" t="s">
        <v>35</v>
      </c>
      <c r="M11" s="9" t="s">
        <v>41</v>
      </c>
      <c r="N11" s="7" t="n">
        <v>78</v>
      </c>
      <c r="O11" s="7" t="n">
        <v>11</v>
      </c>
      <c r="P11" s="7" t="n">
        <v>10</v>
      </c>
      <c r="Q11" s="7" t="n">
        <v>1</v>
      </c>
      <c r="R11" s="7" t="n">
        <v>67</v>
      </c>
      <c r="S11" s="10" t="n">
        <f aca="false">IF(N11=0,0,R11/N11)</f>
        <v>0.858974358974359</v>
      </c>
      <c r="T11" s="7"/>
      <c r="U11" s="7"/>
      <c r="V11" s="7"/>
      <c r="W11" s="7"/>
      <c r="X11" s="7"/>
      <c r="Y11" s="7"/>
    </row>
    <row r="12" customFormat="false" ht="15" hidden="false" customHeight="false" outlineLevel="0" collapsed="false">
      <c r="A12" s="6" t="s">
        <v>28</v>
      </c>
      <c r="B12" s="7" t="n">
        <v>10</v>
      </c>
      <c r="C12" s="8" t="n">
        <v>46325</v>
      </c>
      <c r="D12" s="9" t="s">
        <v>29</v>
      </c>
      <c r="E12" s="9" t="s">
        <v>30</v>
      </c>
      <c r="F12" s="9" t="s">
        <v>38</v>
      </c>
      <c r="G12" s="9"/>
      <c r="H12" s="9" t="s">
        <v>32</v>
      </c>
      <c r="I12" s="9" t="s">
        <v>49</v>
      </c>
      <c r="J12" s="9" t="s">
        <v>49</v>
      </c>
      <c r="K12" s="9" t="s">
        <v>40</v>
      </c>
      <c r="L12" s="9" t="s">
        <v>35</v>
      </c>
      <c r="M12" s="9" t="s">
        <v>36</v>
      </c>
      <c r="N12" s="7" t="n">
        <v>80</v>
      </c>
      <c r="O12" s="7" t="n">
        <v>34</v>
      </c>
      <c r="P12" s="7" t="n">
        <v>32</v>
      </c>
      <c r="Q12" s="7" t="n">
        <v>2</v>
      </c>
      <c r="R12" s="7" t="n">
        <v>46</v>
      </c>
      <c r="S12" s="10" t="n">
        <f aca="false">IF(N12=0,0,R12/N12)</f>
        <v>0.575</v>
      </c>
      <c r="T12" s="7" t="n">
        <v>2</v>
      </c>
      <c r="U12" s="7" t="n">
        <v>19</v>
      </c>
      <c r="V12" s="7" t="n">
        <v>0</v>
      </c>
      <c r="W12" s="7" t="n">
        <v>0</v>
      </c>
      <c r="X12" s="7" t="n">
        <v>1</v>
      </c>
      <c r="Y12" s="7" t="n">
        <v>2</v>
      </c>
    </row>
    <row r="13" customFormat="false" ht="15" hidden="false" customHeight="false" outlineLevel="0" collapsed="false">
      <c r="A13" s="6" t="s">
        <v>28</v>
      </c>
      <c r="B13" s="7" t="n">
        <v>11</v>
      </c>
      <c r="C13" s="8" t="n">
        <v>46325</v>
      </c>
      <c r="D13" s="9" t="s">
        <v>29</v>
      </c>
      <c r="E13" s="9" t="s">
        <v>30</v>
      </c>
      <c r="F13" s="9" t="s">
        <v>42</v>
      </c>
      <c r="G13" s="9"/>
      <c r="H13" s="9" t="s">
        <v>32</v>
      </c>
      <c r="I13" s="9" t="s">
        <v>51</v>
      </c>
      <c r="J13" s="9" t="s">
        <v>52</v>
      </c>
      <c r="K13" s="9" t="s">
        <v>34</v>
      </c>
      <c r="L13" s="9" t="s">
        <v>35</v>
      </c>
      <c r="M13" s="9" t="s">
        <v>41</v>
      </c>
      <c r="N13" s="7" t="n">
        <v>42</v>
      </c>
      <c r="O13" s="7" t="n">
        <v>4</v>
      </c>
      <c r="P13" s="7" t="n">
        <v>3</v>
      </c>
      <c r="Q13" s="7" t="n">
        <v>1</v>
      </c>
      <c r="R13" s="7" t="n">
        <v>38</v>
      </c>
      <c r="S13" s="10" t="n">
        <f aca="false">IF(N13=0,0,R13/N13)</f>
        <v>0.904761904761905</v>
      </c>
      <c r="T13" s="7"/>
      <c r="U13" s="7"/>
      <c r="V13" s="7"/>
      <c r="W13" s="7"/>
      <c r="X13" s="7"/>
      <c r="Y13" s="7"/>
    </row>
    <row r="14" customFormat="false" ht="15" hidden="false" customHeight="false" outlineLevel="0" collapsed="false">
      <c r="A14" s="6" t="s">
        <v>28</v>
      </c>
      <c r="B14" s="7" t="n">
        <v>12</v>
      </c>
      <c r="C14" s="8" t="n">
        <v>46330</v>
      </c>
      <c r="D14" s="9" t="s">
        <v>37</v>
      </c>
      <c r="E14" s="9" t="s">
        <v>30</v>
      </c>
      <c r="F14" s="9" t="s">
        <v>38</v>
      </c>
      <c r="G14" s="9"/>
      <c r="H14" s="9" t="s">
        <v>32</v>
      </c>
      <c r="I14" s="9" t="s">
        <v>49</v>
      </c>
      <c r="J14" s="9" t="s">
        <v>53</v>
      </c>
      <c r="K14" s="9" t="s">
        <v>40</v>
      </c>
      <c r="L14" s="9" t="s">
        <v>35</v>
      </c>
      <c r="M14" s="9" t="s">
        <v>41</v>
      </c>
      <c r="N14" s="7" t="n">
        <v>39</v>
      </c>
      <c r="O14" s="7" t="n">
        <v>9</v>
      </c>
      <c r="P14" s="7" t="n">
        <v>8</v>
      </c>
      <c r="Q14" s="7" t="n">
        <v>1</v>
      </c>
      <c r="R14" s="7" t="n">
        <v>30</v>
      </c>
      <c r="S14" s="10" t="n">
        <f aca="false">IF(N14=0,0,R14/N14)</f>
        <v>0.769230769230769</v>
      </c>
      <c r="T14" s="7"/>
      <c r="U14" s="7"/>
      <c r="V14" s="7"/>
      <c r="W14" s="7"/>
      <c r="X14" s="7"/>
      <c r="Y14" s="7"/>
    </row>
    <row r="15" customFormat="false" ht="15" hidden="false" customHeight="false" outlineLevel="0" collapsed="false">
      <c r="A15" s="6" t="s">
        <v>28</v>
      </c>
      <c r="B15" s="7" t="n">
        <v>13</v>
      </c>
      <c r="C15" s="8" t="n">
        <v>46330</v>
      </c>
      <c r="D15" s="9" t="s">
        <v>37</v>
      </c>
      <c r="E15" s="9" t="s">
        <v>30</v>
      </c>
      <c r="F15" s="9" t="s">
        <v>42</v>
      </c>
      <c r="G15" s="9"/>
      <c r="H15" s="9" t="s">
        <v>32</v>
      </c>
      <c r="I15" s="9" t="s">
        <v>54</v>
      </c>
      <c r="J15" s="9" t="s">
        <v>55</v>
      </c>
      <c r="K15" s="9" t="s">
        <v>56</v>
      </c>
      <c r="L15" s="9" t="s">
        <v>35</v>
      </c>
      <c r="M15" s="9" t="s">
        <v>41</v>
      </c>
      <c r="N15" s="7" t="n">
        <v>21</v>
      </c>
      <c r="O15" s="7" t="n">
        <v>1</v>
      </c>
      <c r="P15" s="7" t="n">
        <v>1</v>
      </c>
      <c r="Q15" s="7" t="n">
        <v>0</v>
      </c>
      <c r="R15" s="7" t="n">
        <v>20</v>
      </c>
      <c r="S15" s="10" t="n">
        <f aca="false">IF(N15=0,0,R15/N15)</f>
        <v>0.952380952380952</v>
      </c>
      <c r="T15" s="7"/>
      <c r="U15" s="7"/>
      <c r="V15" s="7"/>
      <c r="W15" s="7"/>
      <c r="X15" s="7"/>
      <c r="Y15" s="7"/>
    </row>
    <row r="16" customFormat="false" ht="15" hidden="false" customHeight="false" outlineLevel="0" collapsed="false">
      <c r="A16" s="6" t="s">
        <v>28</v>
      </c>
      <c r="B16" s="7" t="n">
        <v>14</v>
      </c>
      <c r="C16" s="8" t="n">
        <v>46339</v>
      </c>
      <c r="D16" s="9" t="s">
        <v>29</v>
      </c>
      <c r="E16" s="9" t="s">
        <v>30</v>
      </c>
      <c r="F16" s="9" t="s">
        <v>38</v>
      </c>
      <c r="G16" s="9"/>
      <c r="H16" s="9" t="s">
        <v>32</v>
      </c>
      <c r="I16" s="9" t="s">
        <v>57</v>
      </c>
      <c r="J16" s="9" t="s">
        <v>58</v>
      </c>
      <c r="K16" s="9" t="s">
        <v>40</v>
      </c>
      <c r="L16" s="9" t="s">
        <v>35</v>
      </c>
      <c r="M16" s="9" t="s">
        <v>41</v>
      </c>
      <c r="N16" s="7" t="n">
        <v>100</v>
      </c>
      <c r="O16" s="7" t="n">
        <v>49</v>
      </c>
      <c r="P16" s="7" t="n">
        <v>41</v>
      </c>
      <c r="Q16" s="7" t="n">
        <v>8</v>
      </c>
      <c r="R16" s="7" t="n">
        <v>51</v>
      </c>
      <c r="S16" s="10" t="n">
        <f aca="false">IF(N16=0,0,R16/N16)</f>
        <v>0.51</v>
      </c>
      <c r="T16" s="7"/>
      <c r="U16" s="7"/>
      <c r="V16" s="7"/>
      <c r="W16" s="7"/>
      <c r="X16" s="7"/>
      <c r="Y16" s="7"/>
    </row>
    <row r="17" customFormat="false" ht="15" hidden="false" customHeight="false" outlineLevel="0" collapsed="false">
      <c r="A17" s="6" t="s">
        <v>28</v>
      </c>
      <c r="B17" s="7" t="n">
        <v>15</v>
      </c>
      <c r="C17" s="8" t="n">
        <v>46339</v>
      </c>
      <c r="D17" s="9" t="s">
        <v>29</v>
      </c>
      <c r="E17" s="9" t="s">
        <v>30</v>
      </c>
      <c r="F17" s="9" t="s">
        <v>42</v>
      </c>
      <c r="G17" s="9"/>
      <c r="H17" s="9" t="s">
        <v>32</v>
      </c>
      <c r="I17" s="9" t="s">
        <v>59</v>
      </c>
      <c r="J17" s="9" t="s">
        <v>59</v>
      </c>
      <c r="K17" s="9" t="s">
        <v>34</v>
      </c>
      <c r="L17" s="9" t="s">
        <v>35</v>
      </c>
      <c r="M17" s="9" t="s">
        <v>36</v>
      </c>
      <c r="N17" s="7" t="n">
        <v>179</v>
      </c>
      <c r="O17" s="7" t="n">
        <v>45</v>
      </c>
      <c r="P17" s="7" t="n">
        <v>23</v>
      </c>
      <c r="Q17" s="7" t="n">
        <v>22</v>
      </c>
      <c r="R17" s="7" t="n">
        <v>134</v>
      </c>
      <c r="S17" s="10" t="n">
        <f aca="false">IF(N17=0,0,R17/N17)</f>
        <v>0.748603351955307</v>
      </c>
      <c r="T17" s="7" t="n">
        <v>1</v>
      </c>
      <c r="U17" s="7" t="n">
        <v>30</v>
      </c>
      <c r="V17" s="7" t="n">
        <v>0</v>
      </c>
      <c r="W17" s="7" t="n">
        <v>8</v>
      </c>
      <c r="X17" s="7" t="n">
        <v>7</v>
      </c>
      <c r="Y17" s="7" t="n">
        <v>0</v>
      </c>
    </row>
    <row r="18" customFormat="false" ht="15" hidden="false" customHeight="false" outlineLevel="0" collapsed="false">
      <c r="A18" s="6" t="s">
        <v>28</v>
      </c>
      <c r="B18" s="7" t="n">
        <v>16</v>
      </c>
      <c r="C18" s="8" t="n">
        <v>46344</v>
      </c>
      <c r="D18" s="9" t="s">
        <v>37</v>
      </c>
      <c r="E18" s="9" t="s">
        <v>30</v>
      </c>
      <c r="F18" s="9" t="s">
        <v>38</v>
      </c>
      <c r="G18" s="9"/>
      <c r="H18" s="9" t="s">
        <v>32</v>
      </c>
      <c r="I18" s="9" t="s">
        <v>57</v>
      </c>
      <c r="J18" s="9" t="s">
        <v>60</v>
      </c>
      <c r="K18" s="9" t="s">
        <v>40</v>
      </c>
      <c r="L18" s="9" t="s">
        <v>35</v>
      </c>
      <c r="M18" s="9" t="s">
        <v>41</v>
      </c>
      <c r="N18" s="7" t="n">
        <v>37</v>
      </c>
      <c r="O18" s="7" t="n">
        <v>6</v>
      </c>
      <c r="P18" s="7" t="n">
        <v>5</v>
      </c>
      <c r="Q18" s="7" t="n">
        <v>1</v>
      </c>
      <c r="R18" s="7" t="n">
        <v>31</v>
      </c>
      <c r="S18" s="10" t="n">
        <f aca="false">IF(N18=0,0,R18/N18)</f>
        <v>0.837837837837838</v>
      </c>
      <c r="T18" s="7"/>
      <c r="U18" s="7"/>
      <c r="V18" s="7"/>
      <c r="W18" s="7"/>
      <c r="X18" s="7"/>
      <c r="Y18" s="7"/>
    </row>
    <row r="19" customFormat="false" ht="15" hidden="false" customHeight="false" outlineLevel="0" collapsed="false">
      <c r="A19" s="6" t="s">
        <v>28</v>
      </c>
      <c r="B19" s="7" t="n">
        <v>17</v>
      </c>
      <c r="C19" s="8" t="n">
        <v>46344</v>
      </c>
      <c r="D19" s="9" t="s">
        <v>37</v>
      </c>
      <c r="E19" s="9" t="s">
        <v>30</v>
      </c>
      <c r="F19" s="9" t="s">
        <v>42</v>
      </c>
      <c r="G19" s="9"/>
      <c r="H19" s="9" t="s">
        <v>32</v>
      </c>
      <c r="I19" s="9" t="s">
        <v>61</v>
      </c>
      <c r="J19" s="9" t="s">
        <v>62</v>
      </c>
      <c r="K19" s="9" t="s">
        <v>34</v>
      </c>
      <c r="L19" s="9" t="s">
        <v>35</v>
      </c>
      <c r="M19" s="9" t="s">
        <v>36</v>
      </c>
      <c r="N19" s="7" t="n">
        <v>33</v>
      </c>
      <c r="O19" s="7" t="n">
        <v>8</v>
      </c>
      <c r="P19" s="7" t="n">
        <v>5</v>
      </c>
      <c r="Q19" s="7" t="n">
        <v>3</v>
      </c>
      <c r="R19" s="7" t="n">
        <v>25</v>
      </c>
      <c r="S19" s="10" t="n">
        <f aca="false">IF(N19=0,0,R19/N19)</f>
        <v>0.757575757575758</v>
      </c>
      <c r="T19" s="7" t="n">
        <v>1</v>
      </c>
      <c r="U19" s="7" t="n">
        <v>27</v>
      </c>
      <c r="V19" s="7" t="n">
        <v>0</v>
      </c>
      <c r="W19" s="7" t="n">
        <v>0</v>
      </c>
      <c r="X19" s="7" t="n">
        <v>0</v>
      </c>
      <c r="Y19" s="7" t="n">
        <v>0</v>
      </c>
    </row>
    <row r="20" customFormat="false" ht="15" hidden="false" customHeight="false" outlineLevel="0" collapsed="false">
      <c r="A20" s="6" t="s">
        <v>28</v>
      </c>
      <c r="B20" s="7" t="n">
        <v>18</v>
      </c>
      <c r="C20" s="8" t="n">
        <v>46346</v>
      </c>
      <c r="D20" s="9" t="s">
        <v>29</v>
      </c>
      <c r="E20" s="9" t="s">
        <v>30</v>
      </c>
      <c r="F20" s="9" t="s">
        <v>38</v>
      </c>
      <c r="G20" s="9"/>
      <c r="H20" s="9" t="s">
        <v>32</v>
      </c>
      <c r="I20" s="9" t="s">
        <v>63</v>
      </c>
      <c r="J20" s="9" t="s">
        <v>63</v>
      </c>
      <c r="K20" s="9" t="s">
        <v>40</v>
      </c>
      <c r="L20" s="9" t="s">
        <v>35</v>
      </c>
      <c r="M20" s="9" t="s">
        <v>41</v>
      </c>
      <c r="N20" s="7" t="n">
        <v>70</v>
      </c>
      <c r="O20" s="7" t="n">
        <v>29</v>
      </c>
      <c r="P20" s="7" t="n">
        <v>24</v>
      </c>
      <c r="Q20" s="7" t="n">
        <v>5</v>
      </c>
      <c r="R20" s="7" t="n">
        <v>41</v>
      </c>
      <c r="S20" s="10" t="n">
        <f aca="false">IF(N20=0,0,R20/N20)</f>
        <v>0.585714285714286</v>
      </c>
      <c r="T20" s="7"/>
      <c r="U20" s="7"/>
      <c r="V20" s="7"/>
      <c r="W20" s="7"/>
      <c r="X20" s="7"/>
      <c r="Y20" s="7"/>
    </row>
    <row r="21" customFormat="false" ht="15" hidden="false" customHeight="false" outlineLevel="0" collapsed="false">
      <c r="A21" s="6" t="s">
        <v>28</v>
      </c>
      <c r="B21" s="7" t="n">
        <v>19</v>
      </c>
      <c r="C21" s="8" t="n">
        <v>46346</v>
      </c>
      <c r="D21" s="9" t="s">
        <v>29</v>
      </c>
      <c r="E21" s="9" t="s">
        <v>30</v>
      </c>
      <c r="F21" s="9" t="s">
        <v>42</v>
      </c>
      <c r="G21" s="9"/>
      <c r="H21" s="9" t="s">
        <v>32</v>
      </c>
      <c r="I21" s="9" t="s">
        <v>61</v>
      </c>
      <c r="J21" s="9" t="s">
        <v>64</v>
      </c>
      <c r="K21" s="9" t="s">
        <v>34</v>
      </c>
      <c r="L21" s="9" t="s">
        <v>35</v>
      </c>
      <c r="M21" s="9" t="s">
        <v>41</v>
      </c>
      <c r="N21" s="7" t="n">
        <v>35</v>
      </c>
      <c r="O21" s="7" t="n">
        <v>4</v>
      </c>
      <c r="P21" s="7" t="n">
        <v>4</v>
      </c>
      <c r="Q21" s="7" t="n">
        <v>0</v>
      </c>
      <c r="R21" s="7" t="n">
        <v>31</v>
      </c>
      <c r="S21" s="10" t="n">
        <f aca="false">IF(N21=0,0,R21/N21)</f>
        <v>0.885714285714286</v>
      </c>
      <c r="T21" s="7"/>
      <c r="U21" s="7"/>
      <c r="V21" s="7"/>
      <c r="W21" s="7"/>
      <c r="X21" s="7"/>
      <c r="Y21" s="7"/>
    </row>
    <row r="22" customFormat="false" ht="15" hidden="false" customHeight="false" outlineLevel="0" collapsed="false">
      <c r="A22" s="6" t="s">
        <v>28</v>
      </c>
      <c r="B22" s="7" t="n">
        <v>20</v>
      </c>
      <c r="C22" s="8" t="n">
        <v>46351</v>
      </c>
      <c r="D22" s="9" t="s">
        <v>37</v>
      </c>
      <c r="E22" s="9" t="s">
        <v>30</v>
      </c>
      <c r="F22" s="9" t="s">
        <v>38</v>
      </c>
      <c r="G22" s="9"/>
      <c r="H22" s="9" t="s">
        <v>32</v>
      </c>
      <c r="I22" s="9" t="s">
        <v>65</v>
      </c>
      <c r="J22" s="9" t="s">
        <v>66</v>
      </c>
      <c r="K22" s="9" t="s">
        <v>56</v>
      </c>
      <c r="L22" s="9" t="s">
        <v>67</v>
      </c>
      <c r="M22" s="9" t="s">
        <v>41</v>
      </c>
      <c r="N22" s="7" t="n">
        <v>194</v>
      </c>
      <c r="O22" s="7" t="n">
        <v>90</v>
      </c>
      <c r="P22" s="7" t="n">
        <v>60</v>
      </c>
      <c r="Q22" s="7" t="n">
        <v>30</v>
      </c>
      <c r="R22" s="7" t="n">
        <v>104</v>
      </c>
      <c r="S22" s="10" t="n">
        <f aca="false">IF(N22=0,0,R22/N22)</f>
        <v>0.536082474226804</v>
      </c>
      <c r="T22" s="7"/>
      <c r="U22" s="7"/>
      <c r="V22" s="7"/>
      <c r="W22" s="7"/>
      <c r="X22" s="7"/>
      <c r="Y22" s="7"/>
    </row>
    <row r="23" customFormat="false" ht="15" hidden="false" customHeight="false" outlineLevel="0" collapsed="false">
      <c r="A23" s="6" t="s">
        <v>28</v>
      </c>
      <c r="B23" s="7" t="n">
        <v>21</v>
      </c>
      <c r="C23" s="8" t="n">
        <v>46351</v>
      </c>
      <c r="D23" s="9" t="s">
        <v>37</v>
      </c>
      <c r="E23" s="9" t="s">
        <v>30</v>
      </c>
      <c r="F23" s="9" t="s">
        <v>42</v>
      </c>
      <c r="G23" s="9"/>
      <c r="H23" s="9" t="s">
        <v>32</v>
      </c>
      <c r="I23" s="9" t="s">
        <v>68</v>
      </c>
      <c r="J23" s="9" t="s">
        <v>69</v>
      </c>
      <c r="K23" s="9" t="s">
        <v>34</v>
      </c>
      <c r="L23" s="9" t="s">
        <v>35</v>
      </c>
      <c r="M23" s="9" t="s">
        <v>41</v>
      </c>
      <c r="N23" s="7" t="n">
        <v>62</v>
      </c>
      <c r="O23" s="7" t="n">
        <v>9</v>
      </c>
      <c r="P23" s="7" t="n">
        <v>9</v>
      </c>
      <c r="Q23" s="7" t="n">
        <v>0</v>
      </c>
      <c r="R23" s="7" t="n">
        <v>53</v>
      </c>
      <c r="S23" s="10" t="n">
        <f aca="false">IF(N23=0,0,R23/N23)</f>
        <v>0.854838709677419</v>
      </c>
      <c r="T23" s="7"/>
      <c r="U23" s="7"/>
      <c r="V23" s="7"/>
      <c r="W23" s="7"/>
      <c r="X23" s="7"/>
      <c r="Y23" s="7"/>
    </row>
    <row r="24" customFormat="false" ht="15" hidden="false" customHeight="false" outlineLevel="0" collapsed="false">
      <c r="A24" s="6" t="s">
        <v>28</v>
      </c>
      <c r="B24" s="7" t="n">
        <v>22</v>
      </c>
      <c r="C24" s="8" t="n">
        <v>46353</v>
      </c>
      <c r="D24" s="9" t="s">
        <v>29</v>
      </c>
      <c r="E24" s="9" t="s">
        <v>30</v>
      </c>
      <c r="F24" s="9" t="s">
        <v>38</v>
      </c>
      <c r="G24" s="9"/>
      <c r="H24" s="9" t="s">
        <v>32</v>
      </c>
      <c r="I24" s="9" t="s">
        <v>70</v>
      </c>
      <c r="J24" s="9" t="s">
        <v>70</v>
      </c>
      <c r="K24" s="9" t="s">
        <v>71</v>
      </c>
      <c r="L24" s="9" t="s">
        <v>35</v>
      </c>
      <c r="M24" s="9" t="s">
        <v>36</v>
      </c>
      <c r="N24" s="7" t="n">
        <v>71</v>
      </c>
      <c r="O24" s="7" t="n">
        <v>34</v>
      </c>
      <c r="P24" s="7" t="n">
        <v>31</v>
      </c>
      <c r="Q24" s="7" t="n">
        <v>3</v>
      </c>
      <c r="R24" s="7" t="n">
        <v>37</v>
      </c>
      <c r="S24" s="10" t="n">
        <f aca="false">IF(N24=0,0,R24/N24)</f>
        <v>0.52112676056338</v>
      </c>
      <c r="T24" s="7" t="n">
        <v>1</v>
      </c>
      <c r="U24" s="7" t="n">
        <v>41</v>
      </c>
      <c r="V24" s="7" t="n">
        <v>0</v>
      </c>
      <c r="W24" s="7" t="n">
        <v>8</v>
      </c>
      <c r="X24" s="7" t="n">
        <v>14</v>
      </c>
      <c r="Y24" s="7" t="n">
        <v>0</v>
      </c>
    </row>
    <row r="25" customFormat="false" ht="15" hidden="false" customHeight="false" outlineLevel="0" collapsed="false">
      <c r="A25" s="6" t="s">
        <v>28</v>
      </c>
      <c r="B25" s="7" t="n">
        <v>23</v>
      </c>
      <c r="C25" s="8" t="n">
        <v>46353</v>
      </c>
      <c r="D25" s="9" t="s">
        <v>29</v>
      </c>
      <c r="E25" s="9" t="s">
        <v>30</v>
      </c>
      <c r="F25" s="9" t="s">
        <v>42</v>
      </c>
      <c r="G25" s="9"/>
      <c r="H25" s="9" t="s">
        <v>32</v>
      </c>
      <c r="I25" s="9" t="s">
        <v>72</v>
      </c>
      <c r="J25" s="9" t="s">
        <v>73</v>
      </c>
      <c r="K25" s="9" t="s">
        <v>34</v>
      </c>
      <c r="L25" s="9" t="s">
        <v>35</v>
      </c>
      <c r="M25" s="9" t="s">
        <v>41</v>
      </c>
      <c r="N25" s="7" t="n">
        <v>36</v>
      </c>
      <c r="O25" s="7" t="n">
        <v>4</v>
      </c>
      <c r="P25" s="7" t="n">
        <v>2</v>
      </c>
      <c r="Q25" s="7" t="n">
        <v>2</v>
      </c>
      <c r="R25" s="7" t="n">
        <v>32</v>
      </c>
      <c r="S25" s="10" t="n">
        <f aca="false">IF(N25=0,0,R25/N25)</f>
        <v>0.888888888888889</v>
      </c>
      <c r="T25" s="7"/>
      <c r="U25" s="7"/>
      <c r="V25" s="7"/>
      <c r="W25" s="7"/>
      <c r="X25" s="7"/>
      <c r="Y25" s="7"/>
    </row>
    <row r="26" customFormat="false" ht="15" hidden="false" customHeight="false" outlineLevel="0" collapsed="false">
      <c r="A26" s="11" t="s">
        <v>74</v>
      </c>
      <c r="B26" s="7" t="n">
        <v>1</v>
      </c>
      <c r="C26" s="8" t="n">
        <v>46393</v>
      </c>
      <c r="D26" s="9" t="s">
        <v>37</v>
      </c>
      <c r="E26" s="9" t="s">
        <v>30</v>
      </c>
      <c r="F26" s="9" t="s">
        <v>38</v>
      </c>
      <c r="G26" s="9"/>
      <c r="H26" s="9" t="s">
        <v>32</v>
      </c>
      <c r="I26" s="9" t="s">
        <v>68</v>
      </c>
      <c r="J26" s="9" t="s">
        <v>75</v>
      </c>
      <c r="K26" s="9" t="s">
        <v>34</v>
      </c>
      <c r="L26" s="9" t="s">
        <v>35</v>
      </c>
      <c r="M26" s="9" t="s">
        <v>36</v>
      </c>
      <c r="N26" s="7" t="n">
        <v>58</v>
      </c>
      <c r="O26" s="7" t="n">
        <v>9</v>
      </c>
      <c r="P26" s="7" t="n">
        <v>9</v>
      </c>
      <c r="Q26" s="7" t="n">
        <v>0</v>
      </c>
      <c r="R26" s="7" t="n">
        <v>49</v>
      </c>
      <c r="S26" s="10" t="n">
        <f aca="false">IF(N26=0,0,R26/N26)</f>
        <v>0.844827586206897</v>
      </c>
      <c r="T26" s="7" t="n">
        <v>1</v>
      </c>
      <c r="U26" s="7" t="n">
        <v>22</v>
      </c>
      <c r="V26" s="7" t="n">
        <v>2</v>
      </c>
      <c r="W26" s="7" t="n">
        <v>1</v>
      </c>
      <c r="X26" s="7" t="n">
        <v>3</v>
      </c>
      <c r="Y26" s="7" t="n">
        <v>2</v>
      </c>
    </row>
    <row r="27" customFormat="false" ht="15" hidden="false" customHeight="false" outlineLevel="0" collapsed="false">
      <c r="A27" s="11" t="s">
        <v>74</v>
      </c>
      <c r="B27" s="7" t="n">
        <v>2</v>
      </c>
      <c r="C27" s="8" t="n">
        <v>46393</v>
      </c>
      <c r="D27" s="9" t="s">
        <v>37</v>
      </c>
      <c r="E27" s="9" t="s">
        <v>30</v>
      </c>
      <c r="F27" s="9" t="s">
        <v>42</v>
      </c>
      <c r="G27" s="9"/>
      <c r="H27" s="9" t="s">
        <v>32</v>
      </c>
      <c r="I27" s="9" t="s">
        <v>57</v>
      </c>
      <c r="J27" s="9" t="s">
        <v>57</v>
      </c>
      <c r="K27" s="9" t="s">
        <v>40</v>
      </c>
      <c r="L27" s="9" t="s">
        <v>35</v>
      </c>
      <c r="M27" s="9" t="s">
        <v>36</v>
      </c>
      <c r="N27" s="7" t="n">
        <v>129</v>
      </c>
      <c r="O27" s="7" t="n">
        <v>67</v>
      </c>
      <c r="P27" s="7" t="n">
        <v>40</v>
      </c>
      <c r="Q27" s="7" t="n">
        <v>27</v>
      </c>
      <c r="R27" s="7" t="n">
        <v>62</v>
      </c>
      <c r="S27" s="10" t="n">
        <f aca="false">IF(N27=0,0,R27/N27)</f>
        <v>0.48062015503876</v>
      </c>
      <c r="T27" s="7" t="n">
        <v>1</v>
      </c>
      <c r="U27" s="7" t="n">
        <v>30</v>
      </c>
      <c r="V27" s="7" t="n">
        <v>0</v>
      </c>
      <c r="W27" s="7" t="n">
        <v>0</v>
      </c>
      <c r="X27" s="7" t="n">
        <v>0</v>
      </c>
      <c r="Y27" s="7" t="n">
        <v>0</v>
      </c>
    </row>
    <row r="28" customFormat="false" ht="15" hidden="false" customHeight="false" outlineLevel="0" collapsed="false">
      <c r="A28" s="11" t="s">
        <v>74</v>
      </c>
      <c r="B28" s="7" t="n">
        <v>3</v>
      </c>
      <c r="C28" s="8" t="n">
        <v>46395</v>
      </c>
      <c r="D28" s="9" t="s">
        <v>29</v>
      </c>
      <c r="E28" s="9" t="s">
        <v>30</v>
      </c>
      <c r="F28" s="9" t="s">
        <v>38</v>
      </c>
      <c r="G28" s="9"/>
      <c r="H28" s="9" t="s">
        <v>32</v>
      </c>
      <c r="I28" s="9" t="s">
        <v>33</v>
      </c>
      <c r="J28" s="9" t="s">
        <v>76</v>
      </c>
      <c r="K28" s="9" t="s">
        <v>34</v>
      </c>
      <c r="L28" s="9" t="s">
        <v>35</v>
      </c>
      <c r="M28" s="9" t="s">
        <v>36</v>
      </c>
      <c r="N28" s="7" t="n">
        <v>32</v>
      </c>
      <c r="O28" s="7" t="n">
        <v>5</v>
      </c>
      <c r="P28" s="7" t="n">
        <v>5</v>
      </c>
      <c r="Q28" s="7" t="n">
        <v>0</v>
      </c>
      <c r="R28" s="7" t="n">
        <v>27</v>
      </c>
      <c r="S28" s="10" t="n">
        <f aca="false">IF(N28=0,0,R28/N28)</f>
        <v>0.84375</v>
      </c>
      <c r="T28" s="7" t="n">
        <v>1</v>
      </c>
      <c r="U28" s="7" t="n">
        <v>29</v>
      </c>
      <c r="V28" s="7" t="n">
        <v>3</v>
      </c>
      <c r="W28" s="7" t="n">
        <v>0</v>
      </c>
      <c r="X28" s="7" t="n">
        <v>3</v>
      </c>
      <c r="Y28" s="7" t="n">
        <v>1</v>
      </c>
    </row>
    <row r="29" customFormat="false" ht="15" hidden="false" customHeight="false" outlineLevel="0" collapsed="false">
      <c r="A29" s="11" t="s">
        <v>74</v>
      </c>
      <c r="B29" s="7" t="n">
        <v>4</v>
      </c>
      <c r="C29" s="8" t="n">
        <v>46395</v>
      </c>
      <c r="D29" s="9" t="s">
        <v>29</v>
      </c>
      <c r="E29" s="9" t="s">
        <v>30</v>
      </c>
      <c r="F29" s="9" t="s">
        <v>42</v>
      </c>
      <c r="G29" s="9"/>
      <c r="H29" s="9" t="s">
        <v>32</v>
      </c>
      <c r="I29" s="9" t="s">
        <v>77</v>
      </c>
      <c r="J29" s="9" t="s">
        <v>77</v>
      </c>
      <c r="K29" s="9" t="s">
        <v>40</v>
      </c>
      <c r="L29" s="9" t="s">
        <v>67</v>
      </c>
      <c r="M29" s="9" t="s">
        <v>36</v>
      </c>
      <c r="N29" s="7" t="n">
        <v>89</v>
      </c>
      <c r="O29" s="7" t="n">
        <v>56</v>
      </c>
      <c r="P29" s="7" t="n">
        <v>45</v>
      </c>
      <c r="Q29" s="7" t="n">
        <v>11</v>
      </c>
      <c r="R29" s="7" t="n">
        <v>33</v>
      </c>
      <c r="S29" s="10" t="n">
        <f aca="false">IF(N29=0,0,R29/N29)</f>
        <v>0.370786516853933</v>
      </c>
      <c r="T29" s="7" t="n">
        <v>2</v>
      </c>
      <c r="U29" s="7" t="n">
        <v>14</v>
      </c>
      <c r="V29" s="7" t="n">
        <v>3</v>
      </c>
      <c r="W29" s="7" t="n">
        <v>0</v>
      </c>
      <c r="X29" s="7" t="n">
        <v>2</v>
      </c>
      <c r="Y29" s="7" t="n">
        <v>3</v>
      </c>
    </row>
    <row r="30" customFormat="false" ht="15" hidden="false" customHeight="false" outlineLevel="0" collapsed="false">
      <c r="A30" s="11" t="s">
        <v>74</v>
      </c>
      <c r="B30" s="7" t="n">
        <v>5</v>
      </c>
      <c r="C30" s="8" t="n">
        <v>46400</v>
      </c>
      <c r="D30" s="9" t="s">
        <v>37</v>
      </c>
      <c r="E30" s="9" t="s">
        <v>30</v>
      </c>
      <c r="F30" s="9" t="s">
        <v>38</v>
      </c>
      <c r="G30" s="9"/>
      <c r="H30" s="9" t="s">
        <v>32</v>
      </c>
      <c r="I30" s="9" t="s">
        <v>51</v>
      </c>
      <c r="J30" s="9" t="s">
        <v>78</v>
      </c>
      <c r="K30" s="9" t="s">
        <v>34</v>
      </c>
      <c r="L30" s="9" t="s">
        <v>35</v>
      </c>
      <c r="M30" s="9" t="s">
        <v>36</v>
      </c>
      <c r="N30" s="7" t="n">
        <v>30</v>
      </c>
      <c r="O30" s="7" t="n">
        <v>3</v>
      </c>
      <c r="P30" s="7" t="n">
        <v>3</v>
      </c>
      <c r="Q30" s="7" t="n">
        <v>0</v>
      </c>
      <c r="R30" s="7" t="n">
        <v>27</v>
      </c>
      <c r="S30" s="10" t="n">
        <f aca="false">IF(N30=0,0,R30/N30)</f>
        <v>0.9</v>
      </c>
      <c r="T30" s="7" t="n">
        <v>1</v>
      </c>
      <c r="U30" s="7" t="n">
        <v>32</v>
      </c>
      <c r="V30" s="7" t="n">
        <v>4</v>
      </c>
      <c r="W30" s="7" t="n">
        <v>2</v>
      </c>
      <c r="X30" s="7" t="n">
        <v>1</v>
      </c>
      <c r="Y30" s="7" t="n">
        <v>3</v>
      </c>
    </row>
    <row r="31" customFormat="false" ht="15" hidden="false" customHeight="false" outlineLevel="0" collapsed="false">
      <c r="A31" s="11" t="s">
        <v>74</v>
      </c>
      <c r="B31" s="7" t="n">
        <v>6</v>
      </c>
      <c r="C31" s="8" t="n">
        <v>46400</v>
      </c>
      <c r="D31" s="9" t="s">
        <v>37</v>
      </c>
      <c r="E31" s="9" t="s">
        <v>30</v>
      </c>
      <c r="F31" s="9" t="s">
        <v>42</v>
      </c>
      <c r="G31" s="9"/>
      <c r="H31" s="9" t="s">
        <v>32</v>
      </c>
      <c r="I31" s="9" t="s">
        <v>77</v>
      </c>
      <c r="J31" s="9" t="s">
        <v>79</v>
      </c>
      <c r="K31" s="9" t="s">
        <v>40</v>
      </c>
      <c r="L31" s="9" t="s">
        <v>35</v>
      </c>
      <c r="M31" s="9" t="s">
        <v>36</v>
      </c>
      <c r="N31" s="7" t="n">
        <v>70</v>
      </c>
      <c r="O31" s="7" t="n">
        <v>25</v>
      </c>
      <c r="P31" s="7" t="n">
        <v>21</v>
      </c>
      <c r="Q31" s="7" t="n">
        <v>4</v>
      </c>
      <c r="R31" s="7" t="n">
        <v>45</v>
      </c>
      <c r="S31" s="10" t="n">
        <f aca="false">IF(N31=0,0,R31/N31)</f>
        <v>0.642857142857143</v>
      </c>
      <c r="T31" s="7" t="n">
        <v>2</v>
      </c>
      <c r="U31" s="7" t="n">
        <v>42</v>
      </c>
      <c r="V31" s="7" t="n">
        <v>0</v>
      </c>
      <c r="W31" s="7" t="n">
        <v>0</v>
      </c>
      <c r="X31" s="7" t="n">
        <v>0</v>
      </c>
      <c r="Y31" s="7" t="n">
        <v>0</v>
      </c>
    </row>
    <row r="32" customFormat="false" ht="15" hidden="false" customHeight="false" outlineLevel="0" collapsed="false">
      <c r="A32" s="11" t="s">
        <v>74</v>
      </c>
      <c r="B32" s="7" t="n">
        <v>7</v>
      </c>
      <c r="C32" s="8" t="n">
        <v>46402</v>
      </c>
      <c r="D32" s="9" t="s">
        <v>29</v>
      </c>
      <c r="E32" s="9" t="s">
        <v>30</v>
      </c>
      <c r="F32" s="9" t="s">
        <v>38</v>
      </c>
      <c r="G32" s="9"/>
      <c r="H32" s="9" t="s">
        <v>32</v>
      </c>
      <c r="I32" s="9" t="s">
        <v>51</v>
      </c>
      <c r="J32" s="9" t="s">
        <v>51</v>
      </c>
      <c r="K32" s="9" t="s">
        <v>34</v>
      </c>
      <c r="L32" s="9" t="s">
        <v>35</v>
      </c>
      <c r="M32" s="9" t="s">
        <v>36</v>
      </c>
      <c r="N32" s="7" t="n">
        <v>30</v>
      </c>
      <c r="O32" s="7" t="n">
        <v>7</v>
      </c>
      <c r="P32" s="7" t="n">
        <v>6</v>
      </c>
      <c r="Q32" s="7" t="n">
        <v>1</v>
      </c>
      <c r="R32" s="7" t="n">
        <v>23</v>
      </c>
      <c r="S32" s="10" t="n">
        <f aca="false">IF(N32=0,0,R32/N32)</f>
        <v>0.766666666666667</v>
      </c>
      <c r="T32" s="7" t="n">
        <v>1</v>
      </c>
      <c r="U32" s="7" t="n">
        <v>32</v>
      </c>
      <c r="V32" s="7" t="n">
        <v>2</v>
      </c>
      <c r="W32" s="7" t="n">
        <v>1</v>
      </c>
      <c r="X32" s="7" t="n">
        <v>2</v>
      </c>
      <c r="Y32" s="7" t="n">
        <v>1</v>
      </c>
    </row>
    <row r="33" customFormat="false" ht="15" hidden="false" customHeight="false" outlineLevel="0" collapsed="false">
      <c r="A33" s="11" t="s">
        <v>74</v>
      </c>
      <c r="B33" s="7" t="n">
        <v>8</v>
      </c>
      <c r="C33" s="8" t="n">
        <v>46402</v>
      </c>
      <c r="D33" s="9" t="s">
        <v>29</v>
      </c>
      <c r="E33" s="9" t="s">
        <v>30</v>
      </c>
      <c r="F33" s="9" t="s">
        <v>42</v>
      </c>
      <c r="G33" s="9"/>
      <c r="H33" s="9" t="s">
        <v>32</v>
      </c>
      <c r="I33" s="9" t="s">
        <v>39</v>
      </c>
      <c r="J33" s="9" t="s">
        <v>80</v>
      </c>
      <c r="K33" s="9" t="s">
        <v>40</v>
      </c>
      <c r="L33" s="9" t="s">
        <v>35</v>
      </c>
      <c r="M33" s="9" t="s">
        <v>36</v>
      </c>
      <c r="N33" s="7" t="n">
        <v>27</v>
      </c>
      <c r="O33" s="7" t="n">
        <v>4</v>
      </c>
      <c r="P33" s="7" t="n">
        <v>3</v>
      </c>
      <c r="Q33" s="7" t="n">
        <v>1</v>
      </c>
      <c r="R33" s="7" t="n">
        <v>23</v>
      </c>
      <c r="S33" s="10" t="n">
        <f aca="false">IF(N33=0,0,R33/N33)</f>
        <v>0.851851851851852</v>
      </c>
      <c r="T33" s="7" t="n">
        <v>1</v>
      </c>
      <c r="U33" s="7" t="n">
        <v>25</v>
      </c>
      <c r="V33" s="7" t="n">
        <v>0</v>
      </c>
      <c r="W33" s="7" t="n">
        <v>0</v>
      </c>
      <c r="X33" s="7" t="n">
        <v>0</v>
      </c>
      <c r="Y33" s="7" t="n">
        <v>0</v>
      </c>
    </row>
    <row r="34" customFormat="false" ht="15" hidden="false" customHeight="false" outlineLevel="0" collapsed="false">
      <c r="A34" s="11" t="s">
        <v>74</v>
      </c>
      <c r="B34" s="7" t="n">
        <v>9</v>
      </c>
      <c r="C34" s="8" t="n">
        <v>46407</v>
      </c>
      <c r="D34" s="9" t="s">
        <v>37</v>
      </c>
      <c r="E34" s="9" t="s">
        <v>30</v>
      </c>
      <c r="F34" s="9" t="s">
        <v>38</v>
      </c>
      <c r="G34" s="9"/>
      <c r="H34" s="9" t="s">
        <v>32</v>
      </c>
      <c r="I34" s="9" t="s">
        <v>51</v>
      </c>
      <c r="J34" s="9" t="s">
        <v>81</v>
      </c>
      <c r="K34" s="9" t="s">
        <v>34</v>
      </c>
      <c r="L34" s="9" t="s">
        <v>35</v>
      </c>
      <c r="M34" s="9" t="s">
        <v>36</v>
      </c>
      <c r="N34" s="7" t="n">
        <v>37</v>
      </c>
      <c r="O34" s="7" t="n">
        <v>7</v>
      </c>
      <c r="P34" s="7" t="n">
        <v>7</v>
      </c>
      <c r="Q34" s="7" t="n">
        <v>0</v>
      </c>
      <c r="R34" s="7" t="n">
        <v>30</v>
      </c>
      <c r="S34" s="10" t="n">
        <f aca="false">IF(N34=0,0,R34/N34)</f>
        <v>0.810810810810811</v>
      </c>
      <c r="T34" s="7" t="n">
        <v>1</v>
      </c>
      <c r="U34" s="7" t="n">
        <v>35</v>
      </c>
      <c r="V34" s="7" t="n">
        <v>1</v>
      </c>
      <c r="W34" s="7" t="n">
        <v>1</v>
      </c>
      <c r="X34" s="7" t="n">
        <v>1</v>
      </c>
      <c r="Y34" s="7" t="n">
        <v>6</v>
      </c>
    </row>
    <row r="35" customFormat="false" ht="15" hidden="false" customHeight="false" outlineLevel="0" collapsed="false">
      <c r="A35" s="11" t="s">
        <v>74</v>
      </c>
      <c r="B35" s="7" t="n">
        <v>10</v>
      </c>
      <c r="C35" s="8" t="n">
        <v>46407</v>
      </c>
      <c r="D35" s="9" t="s">
        <v>37</v>
      </c>
      <c r="E35" s="9" t="s">
        <v>30</v>
      </c>
      <c r="F35" s="9" t="s">
        <v>42</v>
      </c>
      <c r="G35" s="9"/>
      <c r="H35" s="9" t="s">
        <v>32</v>
      </c>
      <c r="I35" s="9" t="s">
        <v>39</v>
      </c>
      <c r="J35" s="9" t="s">
        <v>82</v>
      </c>
      <c r="K35" s="9" t="s">
        <v>40</v>
      </c>
      <c r="L35" s="9" t="s">
        <v>35</v>
      </c>
      <c r="M35" s="9" t="s">
        <v>41</v>
      </c>
      <c r="N35" s="7" t="n">
        <v>32</v>
      </c>
      <c r="O35" s="7" t="n">
        <v>11</v>
      </c>
      <c r="P35" s="7" t="n">
        <v>10</v>
      </c>
      <c r="Q35" s="7" t="n">
        <v>1</v>
      </c>
      <c r="R35" s="7" t="n">
        <v>21</v>
      </c>
      <c r="S35" s="10" t="n">
        <f aca="false">IF(N35=0,0,R35/N35)</f>
        <v>0.65625</v>
      </c>
      <c r="T35" s="7"/>
      <c r="U35" s="7"/>
      <c r="V35" s="7"/>
      <c r="W35" s="7"/>
      <c r="X35" s="7"/>
      <c r="Y35" s="7"/>
    </row>
    <row r="36" customFormat="false" ht="15" hidden="false" customHeight="false" outlineLevel="0" collapsed="false">
      <c r="A36" s="11" t="s">
        <v>74</v>
      </c>
      <c r="B36" s="7" t="n">
        <v>11</v>
      </c>
      <c r="C36" s="8" t="n">
        <v>46409</v>
      </c>
      <c r="D36" s="9" t="s">
        <v>29</v>
      </c>
      <c r="E36" s="9" t="s">
        <v>30</v>
      </c>
      <c r="F36" s="9" t="s">
        <v>38</v>
      </c>
      <c r="G36" s="9"/>
      <c r="H36" s="9" t="s">
        <v>32</v>
      </c>
      <c r="I36" s="9" t="s">
        <v>51</v>
      </c>
      <c r="J36" s="9" t="s">
        <v>83</v>
      </c>
      <c r="K36" s="9" t="s">
        <v>34</v>
      </c>
      <c r="L36" s="9" t="s">
        <v>35</v>
      </c>
      <c r="M36" s="9" t="s">
        <v>41</v>
      </c>
      <c r="N36" s="7" t="n">
        <v>24</v>
      </c>
      <c r="O36" s="7" t="n">
        <v>3</v>
      </c>
      <c r="P36" s="7" t="n">
        <v>3</v>
      </c>
      <c r="Q36" s="7" t="n">
        <v>0</v>
      </c>
      <c r="R36" s="7" t="n">
        <v>21</v>
      </c>
      <c r="S36" s="10" t="n">
        <f aca="false">IF(N36=0,0,R36/N36)</f>
        <v>0.875</v>
      </c>
      <c r="T36" s="7"/>
      <c r="U36" s="7"/>
      <c r="V36" s="7"/>
      <c r="W36" s="7"/>
      <c r="X36" s="7"/>
      <c r="Y36" s="7"/>
    </row>
    <row r="37" customFormat="false" ht="15" hidden="false" customHeight="false" outlineLevel="0" collapsed="false">
      <c r="A37" s="11" t="s">
        <v>74</v>
      </c>
      <c r="B37" s="7" t="n">
        <v>12</v>
      </c>
      <c r="C37" s="8" t="n">
        <v>46409</v>
      </c>
      <c r="D37" s="9" t="s">
        <v>29</v>
      </c>
      <c r="E37" s="9" t="s">
        <v>30</v>
      </c>
      <c r="F37" s="9" t="s">
        <v>42</v>
      </c>
      <c r="G37" s="9"/>
      <c r="H37" s="9" t="s">
        <v>32</v>
      </c>
      <c r="I37" s="9" t="s">
        <v>44</v>
      </c>
      <c r="J37" s="9" t="s">
        <v>84</v>
      </c>
      <c r="K37" s="9" t="s">
        <v>40</v>
      </c>
      <c r="L37" s="9" t="s">
        <v>35</v>
      </c>
      <c r="M37" s="9" t="s">
        <v>41</v>
      </c>
      <c r="N37" s="7" t="n">
        <v>23</v>
      </c>
      <c r="O37" s="7" t="n">
        <v>5</v>
      </c>
      <c r="P37" s="7" t="n">
        <v>4</v>
      </c>
      <c r="Q37" s="7" t="n">
        <v>1</v>
      </c>
      <c r="R37" s="7" t="n">
        <v>18</v>
      </c>
      <c r="S37" s="10" t="n">
        <f aca="false">IF(N37=0,0,R37/N37)</f>
        <v>0.782608695652174</v>
      </c>
      <c r="T37" s="7"/>
      <c r="U37" s="7"/>
      <c r="V37" s="7"/>
      <c r="W37" s="7"/>
      <c r="X37" s="7"/>
      <c r="Y37" s="7"/>
    </row>
    <row r="38" customFormat="false" ht="15" hidden="false" customHeight="false" outlineLevel="0" collapsed="false">
      <c r="A38" s="11" t="s">
        <v>74</v>
      </c>
      <c r="B38" s="7" t="n">
        <v>13</v>
      </c>
      <c r="C38" s="8" t="n">
        <v>46414</v>
      </c>
      <c r="D38" s="9" t="s">
        <v>37</v>
      </c>
      <c r="E38" s="9" t="s">
        <v>30</v>
      </c>
      <c r="F38" s="9" t="s">
        <v>38</v>
      </c>
      <c r="G38" s="9"/>
      <c r="H38" s="9" t="s">
        <v>32</v>
      </c>
      <c r="I38" s="9" t="s">
        <v>85</v>
      </c>
      <c r="J38" s="9" t="s">
        <v>86</v>
      </c>
      <c r="K38" s="9" t="s">
        <v>34</v>
      </c>
      <c r="L38" s="9" t="s">
        <v>35</v>
      </c>
      <c r="M38" s="9" t="s">
        <v>36</v>
      </c>
      <c r="N38" s="7" t="n">
        <v>29</v>
      </c>
      <c r="O38" s="7" t="n">
        <v>4</v>
      </c>
      <c r="P38" s="7" t="n">
        <v>4</v>
      </c>
      <c r="Q38" s="7" t="n">
        <v>0</v>
      </c>
      <c r="R38" s="7" t="n">
        <v>25</v>
      </c>
      <c r="S38" s="10" t="n">
        <f aca="false">IF(N38=0,0,R38/N38)</f>
        <v>0.862068965517241</v>
      </c>
      <c r="T38" s="7" t="n">
        <v>1</v>
      </c>
      <c r="U38" s="7" t="n">
        <v>0</v>
      </c>
      <c r="V38" s="7" t="n">
        <v>1</v>
      </c>
      <c r="W38" s="7" t="n">
        <v>0</v>
      </c>
      <c r="X38" s="7" t="n">
        <v>0</v>
      </c>
      <c r="Y38" s="7" t="n">
        <v>0</v>
      </c>
    </row>
    <row r="39" customFormat="false" ht="15" hidden="false" customHeight="false" outlineLevel="0" collapsed="false">
      <c r="A39" s="11" t="s">
        <v>74</v>
      </c>
      <c r="B39" s="7" t="n">
        <v>14</v>
      </c>
      <c r="C39" s="8" t="n">
        <v>46414</v>
      </c>
      <c r="D39" s="9" t="s">
        <v>37</v>
      </c>
      <c r="E39" s="9" t="s">
        <v>30</v>
      </c>
      <c r="F39" s="9" t="s">
        <v>42</v>
      </c>
      <c r="G39" s="9"/>
      <c r="H39" s="9" t="s">
        <v>32</v>
      </c>
      <c r="I39" s="9" t="s">
        <v>44</v>
      </c>
      <c r="J39" s="9" t="s">
        <v>87</v>
      </c>
      <c r="K39" s="9" t="s">
        <v>40</v>
      </c>
      <c r="L39" s="9" t="s">
        <v>35</v>
      </c>
      <c r="M39" s="9" t="s">
        <v>41</v>
      </c>
      <c r="N39" s="7" t="n">
        <v>23</v>
      </c>
      <c r="O39" s="7" t="n">
        <v>7</v>
      </c>
      <c r="P39" s="7" t="n">
        <v>4</v>
      </c>
      <c r="Q39" s="7" t="n">
        <v>3</v>
      </c>
      <c r="R39" s="7" t="n">
        <v>16</v>
      </c>
      <c r="S39" s="10" t="n">
        <f aca="false">IF(N39=0,0,R39/N39)</f>
        <v>0.695652173913044</v>
      </c>
      <c r="T39" s="7"/>
      <c r="U39" s="7"/>
      <c r="V39" s="7"/>
      <c r="W39" s="7"/>
      <c r="X39" s="7"/>
      <c r="Y39" s="7"/>
    </row>
    <row r="40" customFormat="false" ht="15" hidden="false" customHeight="false" outlineLevel="0" collapsed="false">
      <c r="A40" s="11" t="s">
        <v>74</v>
      </c>
      <c r="B40" s="7" t="n">
        <v>15</v>
      </c>
      <c r="C40" s="8" t="n">
        <v>46416</v>
      </c>
      <c r="D40" s="9" t="s">
        <v>29</v>
      </c>
      <c r="E40" s="9" t="s">
        <v>30</v>
      </c>
      <c r="F40" s="9" t="s">
        <v>38</v>
      </c>
      <c r="G40" s="9"/>
      <c r="H40" s="9" t="s">
        <v>32</v>
      </c>
      <c r="I40" s="9" t="s">
        <v>68</v>
      </c>
      <c r="J40" s="9" t="s">
        <v>68</v>
      </c>
      <c r="K40" s="9" t="s">
        <v>34</v>
      </c>
      <c r="L40" s="9" t="s">
        <v>35</v>
      </c>
      <c r="M40" s="9" t="s">
        <v>36</v>
      </c>
      <c r="N40" s="7" t="n">
        <v>231</v>
      </c>
      <c r="O40" s="7" t="n">
        <v>90</v>
      </c>
      <c r="P40" s="7" t="n">
        <v>57</v>
      </c>
      <c r="Q40" s="7" t="n">
        <v>33</v>
      </c>
      <c r="R40" s="7" t="n">
        <v>141</v>
      </c>
      <c r="S40" s="10" t="n">
        <f aca="false">IF(N40=0,0,R40/N40)</f>
        <v>0.61038961038961</v>
      </c>
      <c r="T40" s="7" t="n">
        <v>1</v>
      </c>
      <c r="U40" s="7" t="n">
        <v>6</v>
      </c>
      <c r="V40" s="7" t="n">
        <v>0</v>
      </c>
      <c r="W40" s="7" t="n">
        <v>0</v>
      </c>
      <c r="X40" s="7" t="n">
        <v>2</v>
      </c>
      <c r="Y40" s="7" t="n">
        <v>0</v>
      </c>
    </row>
    <row r="41" customFormat="false" ht="15" hidden="false" customHeight="false" outlineLevel="0" collapsed="false">
      <c r="A41" s="11" t="s">
        <v>74</v>
      </c>
      <c r="B41" s="7" t="n">
        <v>16</v>
      </c>
      <c r="C41" s="8" t="n">
        <v>46416</v>
      </c>
      <c r="D41" s="9" t="s">
        <v>29</v>
      </c>
      <c r="E41" s="9" t="s">
        <v>30</v>
      </c>
      <c r="F41" s="9" t="s">
        <v>42</v>
      </c>
      <c r="G41" s="9"/>
      <c r="H41" s="9" t="s">
        <v>32</v>
      </c>
      <c r="I41" s="9" t="s">
        <v>57</v>
      </c>
      <c r="J41" s="9" t="s">
        <v>88</v>
      </c>
      <c r="K41" s="9" t="s">
        <v>40</v>
      </c>
      <c r="L41" s="9" t="s">
        <v>35</v>
      </c>
      <c r="M41" s="9" t="s">
        <v>41</v>
      </c>
      <c r="N41" s="7" t="n">
        <v>24</v>
      </c>
      <c r="O41" s="7" t="n">
        <v>8</v>
      </c>
      <c r="P41" s="7" t="n">
        <v>7</v>
      </c>
      <c r="Q41" s="7" t="n">
        <v>1</v>
      </c>
      <c r="R41" s="7" t="n">
        <v>16</v>
      </c>
      <c r="S41" s="10" t="n">
        <f aca="false">IF(N41=0,0,R41/N41)</f>
        <v>0.666666666666667</v>
      </c>
      <c r="T41" s="7"/>
      <c r="U41" s="7"/>
      <c r="V41" s="7"/>
      <c r="W41" s="7"/>
      <c r="X41" s="7"/>
      <c r="Y41" s="7"/>
    </row>
    <row r="42" customFormat="false" ht="15" hidden="false" customHeight="false" outlineLevel="0" collapsed="false">
      <c r="A42" s="11" t="s">
        <v>74</v>
      </c>
      <c r="B42" s="7" t="n">
        <v>17</v>
      </c>
      <c r="C42" s="8" t="n">
        <v>46421</v>
      </c>
      <c r="D42" s="9" t="s">
        <v>37</v>
      </c>
      <c r="E42" s="9" t="s">
        <v>30</v>
      </c>
      <c r="F42" s="9" t="s">
        <v>38</v>
      </c>
      <c r="G42" s="9"/>
      <c r="H42" s="9" t="s">
        <v>32</v>
      </c>
      <c r="I42" s="9" t="s">
        <v>54</v>
      </c>
      <c r="J42" s="9" t="s">
        <v>54</v>
      </c>
      <c r="K42" s="9" t="s">
        <v>56</v>
      </c>
      <c r="L42" s="9" t="s">
        <v>67</v>
      </c>
      <c r="M42" s="9" t="s">
        <v>36</v>
      </c>
      <c r="N42" s="7" t="n">
        <v>326</v>
      </c>
      <c r="O42" s="7" t="n">
        <v>137</v>
      </c>
      <c r="P42" s="7" t="n">
        <v>90</v>
      </c>
      <c r="Q42" s="7" t="n">
        <v>47</v>
      </c>
      <c r="R42" s="7" t="n">
        <v>189</v>
      </c>
      <c r="S42" s="10" t="n">
        <f aca="false">IF(N42=0,0,R42/N42)</f>
        <v>0.579754601226994</v>
      </c>
      <c r="T42" s="7" t="n">
        <v>1</v>
      </c>
      <c r="U42" s="7" t="n">
        <v>20</v>
      </c>
      <c r="V42" s="7" t="n">
        <v>0</v>
      </c>
      <c r="W42" s="7" t="n">
        <v>0</v>
      </c>
      <c r="X42" s="7" t="n">
        <v>11</v>
      </c>
      <c r="Y42" s="7" t="n">
        <v>2</v>
      </c>
    </row>
    <row r="43" customFormat="false" ht="15" hidden="false" customHeight="false" outlineLevel="0" collapsed="false">
      <c r="A43" s="11" t="s">
        <v>74</v>
      </c>
      <c r="B43" s="7" t="n">
        <v>18</v>
      </c>
      <c r="C43" s="8" t="n">
        <v>46421</v>
      </c>
      <c r="D43" s="9" t="s">
        <v>37</v>
      </c>
      <c r="E43" s="9" t="s">
        <v>30</v>
      </c>
      <c r="F43" s="9" t="s">
        <v>42</v>
      </c>
      <c r="G43" s="9"/>
      <c r="H43" s="9" t="s">
        <v>32</v>
      </c>
      <c r="I43" s="9" t="s">
        <v>54</v>
      </c>
      <c r="J43" s="9" t="s">
        <v>89</v>
      </c>
      <c r="K43" s="9" t="s">
        <v>56</v>
      </c>
      <c r="L43" s="9" t="s">
        <v>35</v>
      </c>
      <c r="M43" s="9" t="s">
        <v>41</v>
      </c>
      <c r="N43" s="7" t="n">
        <v>19</v>
      </c>
      <c r="O43" s="7" t="n">
        <v>1</v>
      </c>
      <c r="P43" s="7" t="n">
        <v>1</v>
      </c>
      <c r="Q43" s="7" t="n">
        <v>0</v>
      </c>
      <c r="R43" s="7" t="n">
        <v>18</v>
      </c>
      <c r="S43" s="10" t="n">
        <f aca="false">IF(N43=0,0,R43/N43)</f>
        <v>0.947368421052632</v>
      </c>
      <c r="T43" s="7"/>
      <c r="U43" s="7"/>
      <c r="V43" s="7"/>
      <c r="W43" s="7"/>
      <c r="X43" s="7"/>
      <c r="Y43" s="7"/>
    </row>
    <row r="44" customFormat="false" ht="15" hidden="false" customHeight="false" outlineLevel="0" collapsed="false">
      <c r="A44" s="11" t="s">
        <v>74</v>
      </c>
      <c r="B44" s="7" t="n">
        <v>19</v>
      </c>
      <c r="C44" s="8" t="n">
        <v>46423</v>
      </c>
      <c r="D44" s="9" t="s">
        <v>29</v>
      </c>
      <c r="E44" s="9" t="s">
        <v>30</v>
      </c>
      <c r="F44" s="9" t="s">
        <v>38</v>
      </c>
      <c r="G44" s="9"/>
      <c r="H44" s="9" t="s">
        <v>32</v>
      </c>
      <c r="I44" s="9" t="s">
        <v>72</v>
      </c>
      <c r="J44" s="9" t="s">
        <v>72</v>
      </c>
      <c r="K44" s="9" t="s">
        <v>34</v>
      </c>
      <c r="L44" s="9" t="s">
        <v>35</v>
      </c>
      <c r="M44" s="9" t="s">
        <v>36</v>
      </c>
      <c r="N44" s="7" t="n">
        <v>36</v>
      </c>
      <c r="O44" s="7" t="n">
        <v>16</v>
      </c>
      <c r="P44" s="7" t="n">
        <v>14</v>
      </c>
      <c r="Q44" s="7" t="n">
        <v>2</v>
      </c>
      <c r="R44" s="7" t="n">
        <v>20</v>
      </c>
      <c r="S44" s="10" t="n">
        <f aca="false">IF(N44=0,0,R44/N44)</f>
        <v>0.555555555555556</v>
      </c>
      <c r="T44" s="7" t="n">
        <v>1</v>
      </c>
      <c r="U44" s="7" t="n">
        <v>11</v>
      </c>
      <c r="V44" s="7" t="n">
        <v>0</v>
      </c>
      <c r="W44" s="7" t="n">
        <v>0</v>
      </c>
      <c r="X44" s="7" t="n">
        <v>0</v>
      </c>
      <c r="Y44" s="7" t="n">
        <v>2</v>
      </c>
    </row>
    <row r="45" customFormat="false" ht="15" hidden="false" customHeight="false" outlineLevel="0" collapsed="false">
      <c r="A45" s="11" t="s">
        <v>74</v>
      </c>
      <c r="B45" s="7" t="n">
        <v>20</v>
      </c>
      <c r="C45" s="8" t="n">
        <v>46423</v>
      </c>
      <c r="D45" s="9" t="s">
        <v>29</v>
      </c>
      <c r="E45" s="9" t="s">
        <v>30</v>
      </c>
      <c r="F45" s="9" t="s">
        <v>42</v>
      </c>
      <c r="G45" s="9"/>
      <c r="H45" s="9" t="s">
        <v>32</v>
      </c>
      <c r="I45" s="9" t="s">
        <v>54</v>
      </c>
      <c r="J45" s="9" t="s">
        <v>90</v>
      </c>
      <c r="K45" s="9" t="s">
        <v>56</v>
      </c>
      <c r="L45" s="9" t="s">
        <v>35</v>
      </c>
      <c r="M45" s="9" t="s">
        <v>41</v>
      </c>
      <c r="N45" s="7" t="n">
        <v>19</v>
      </c>
      <c r="O45" s="7" t="n">
        <v>3</v>
      </c>
      <c r="P45" s="7" t="n">
        <v>2</v>
      </c>
      <c r="Q45" s="7" t="n">
        <v>1</v>
      </c>
      <c r="R45" s="7" t="n">
        <v>16</v>
      </c>
      <c r="S45" s="10" t="n">
        <f aca="false">IF(N45=0,0,R45/N45)</f>
        <v>0.842105263157895</v>
      </c>
      <c r="T45" s="7"/>
      <c r="U45" s="7"/>
      <c r="V45" s="7"/>
      <c r="W45" s="7"/>
      <c r="X45" s="7"/>
      <c r="Y45" s="7"/>
    </row>
    <row r="46" customFormat="false" ht="15" hidden="false" customHeight="false" outlineLevel="0" collapsed="false">
      <c r="A46" s="11" t="s">
        <v>74</v>
      </c>
      <c r="B46" s="7" t="n">
        <v>21</v>
      </c>
      <c r="C46" s="8" t="n">
        <v>46428</v>
      </c>
      <c r="D46" s="9" t="s">
        <v>37</v>
      </c>
      <c r="E46" s="9" t="s">
        <v>30</v>
      </c>
      <c r="F46" s="9" t="s">
        <v>38</v>
      </c>
      <c r="G46" s="9"/>
      <c r="H46" s="9" t="s">
        <v>32</v>
      </c>
      <c r="I46" s="9" t="s">
        <v>68</v>
      </c>
      <c r="J46" s="9" t="s">
        <v>91</v>
      </c>
      <c r="K46" s="9" t="s">
        <v>34</v>
      </c>
      <c r="L46" s="9" t="s">
        <v>35</v>
      </c>
      <c r="M46" s="9" t="s">
        <v>41</v>
      </c>
      <c r="N46" s="7" t="n">
        <v>20</v>
      </c>
      <c r="O46" s="7" t="n">
        <v>4</v>
      </c>
      <c r="P46" s="7" t="n">
        <v>3</v>
      </c>
      <c r="Q46" s="7" t="n">
        <v>1</v>
      </c>
      <c r="R46" s="7" t="n">
        <v>16</v>
      </c>
      <c r="S46" s="10" t="n">
        <f aca="false">IF(N46=0,0,R46/N46)</f>
        <v>0.8</v>
      </c>
      <c r="T46" s="7"/>
      <c r="U46" s="7"/>
      <c r="V46" s="7"/>
      <c r="W46" s="7"/>
      <c r="X46" s="7"/>
      <c r="Y46" s="7"/>
    </row>
    <row r="47" customFormat="false" ht="15" hidden="false" customHeight="false" outlineLevel="0" collapsed="false">
      <c r="A47" s="11" t="s">
        <v>74</v>
      </c>
      <c r="B47" s="7" t="n">
        <v>22</v>
      </c>
      <c r="C47" s="8" t="n">
        <v>46428</v>
      </c>
      <c r="D47" s="9" t="s">
        <v>37</v>
      </c>
      <c r="E47" s="9" t="s">
        <v>30</v>
      </c>
      <c r="F47" s="9" t="s">
        <v>42</v>
      </c>
      <c r="G47" s="9"/>
      <c r="H47" s="9" t="s">
        <v>32</v>
      </c>
      <c r="I47" s="9" t="s">
        <v>65</v>
      </c>
      <c r="J47" s="9" t="s">
        <v>92</v>
      </c>
      <c r="K47" s="9" t="s">
        <v>56</v>
      </c>
      <c r="L47" s="9" t="s">
        <v>35</v>
      </c>
      <c r="M47" s="9" t="s">
        <v>41</v>
      </c>
      <c r="N47" s="7" t="n">
        <v>16</v>
      </c>
      <c r="O47" s="7" t="n">
        <v>2</v>
      </c>
      <c r="P47" s="7" t="n">
        <v>2</v>
      </c>
      <c r="Q47" s="7" t="n">
        <v>0</v>
      </c>
      <c r="R47" s="7" t="n">
        <v>14</v>
      </c>
      <c r="S47" s="10" t="n">
        <f aca="false">IF(N47=0,0,R47/N47)</f>
        <v>0.875</v>
      </c>
      <c r="T47" s="7"/>
      <c r="U47" s="7"/>
      <c r="V47" s="7"/>
      <c r="W47" s="7"/>
      <c r="X47" s="7"/>
      <c r="Y47" s="7"/>
    </row>
    <row r="48" customFormat="false" ht="15" hidden="false" customHeight="false" outlineLevel="0" collapsed="false">
      <c r="A48" s="11" t="s">
        <v>74</v>
      </c>
      <c r="B48" s="7" t="n">
        <v>23</v>
      </c>
      <c r="C48" s="8" t="n">
        <v>46430</v>
      </c>
      <c r="D48" s="9" t="s">
        <v>29</v>
      </c>
      <c r="E48" s="9" t="s">
        <v>30</v>
      </c>
      <c r="F48" s="9" t="s">
        <v>38</v>
      </c>
      <c r="G48" s="9"/>
      <c r="H48" s="9" t="s">
        <v>32</v>
      </c>
      <c r="I48" s="9" t="s">
        <v>72</v>
      </c>
      <c r="J48" s="9" t="s">
        <v>93</v>
      </c>
      <c r="K48" s="9" t="s">
        <v>34</v>
      </c>
      <c r="L48" s="9" t="s">
        <v>35</v>
      </c>
      <c r="M48" s="9" t="s">
        <v>41</v>
      </c>
      <c r="N48" s="7" t="n">
        <v>18</v>
      </c>
      <c r="O48" s="7" t="n">
        <v>4</v>
      </c>
      <c r="P48" s="7" t="n">
        <v>4</v>
      </c>
      <c r="Q48" s="7" t="n">
        <v>0</v>
      </c>
      <c r="R48" s="7" t="n">
        <v>14</v>
      </c>
      <c r="S48" s="10" t="n">
        <f aca="false">IF(N48=0,0,R48/N48)</f>
        <v>0.777777777777778</v>
      </c>
      <c r="T48" s="7"/>
      <c r="U48" s="7"/>
      <c r="V48" s="7"/>
      <c r="W48" s="7"/>
      <c r="X48" s="7"/>
      <c r="Y48" s="7"/>
    </row>
    <row r="49" customFormat="false" ht="15" hidden="false" customHeight="false" outlineLevel="0" collapsed="false">
      <c r="A49" s="11" t="s">
        <v>74</v>
      </c>
      <c r="B49" s="7" t="n">
        <v>24</v>
      </c>
      <c r="C49" s="8" t="n">
        <v>46430</v>
      </c>
      <c r="D49" s="9" t="s">
        <v>29</v>
      </c>
      <c r="E49" s="9" t="s">
        <v>30</v>
      </c>
      <c r="F49" s="9" t="s">
        <v>42</v>
      </c>
      <c r="G49" s="9"/>
      <c r="H49" s="9" t="s">
        <v>32</v>
      </c>
      <c r="I49" s="9" t="s">
        <v>65</v>
      </c>
      <c r="J49" s="9" t="s">
        <v>94</v>
      </c>
      <c r="K49" s="9" t="s">
        <v>56</v>
      </c>
      <c r="L49" s="9" t="s">
        <v>35</v>
      </c>
      <c r="M49" s="9" t="s">
        <v>41</v>
      </c>
      <c r="N49" s="7" t="n">
        <v>16</v>
      </c>
      <c r="O49" s="7" t="n">
        <v>10</v>
      </c>
      <c r="P49" s="7" t="n">
        <v>10</v>
      </c>
      <c r="Q49" s="7" t="n">
        <v>0</v>
      </c>
      <c r="R49" s="7" t="n">
        <v>6</v>
      </c>
      <c r="S49" s="10" t="n">
        <f aca="false">IF(N49=0,0,R49/N49)</f>
        <v>0.375</v>
      </c>
      <c r="T49" s="7"/>
      <c r="U49" s="7"/>
      <c r="V49" s="7"/>
      <c r="W49" s="7"/>
      <c r="X49" s="7"/>
      <c r="Y49" s="7"/>
    </row>
    <row r="50" customFormat="false" ht="15" hidden="false" customHeight="false" outlineLevel="0" collapsed="false">
      <c r="A50" s="11" t="s">
        <v>74</v>
      </c>
      <c r="B50" s="7" t="n">
        <v>25</v>
      </c>
      <c r="C50" s="8" t="n">
        <v>46435</v>
      </c>
      <c r="D50" s="9" t="s">
        <v>37</v>
      </c>
      <c r="E50" s="9" t="s">
        <v>30</v>
      </c>
      <c r="F50" s="9" t="s">
        <v>38</v>
      </c>
      <c r="G50" s="9"/>
      <c r="H50" s="9" t="s">
        <v>32</v>
      </c>
      <c r="I50" s="9" t="s">
        <v>61</v>
      </c>
      <c r="J50" s="9" t="s">
        <v>95</v>
      </c>
      <c r="K50" s="9" t="s">
        <v>34</v>
      </c>
      <c r="L50" s="9" t="s">
        <v>35</v>
      </c>
      <c r="M50" s="9" t="s">
        <v>41</v>
      </c>
      <c r="N50" s="7" t="n">
        <v>20</v>
      </c>
      <c r="O50" s="7" t="n">
        <v>2</v>
      </c>
      <c r="P50" s="7" t="n">
        <v>2</v>
      </c>
      <c r="Q50" s="7" t="n">
        <v>0</v>
      </c>
      <c r="R50" s="7" t="n">
        <v>18</v>
      </c>
      <c r="S50" s="10" t="n">
        <f aca="false">IF(N50=0,0,R50/N50)</f>
        <v>0.9</v>
      </c>
      <c r="T50" s="7"/>
      <c r="U50" s="7"/>
      <c r="V50" s="7"/>
      <c r="W50" s="7"/>
      <c r="X50" s="7"/>
      <c r="Y50" s="7"/>
    </row>
    <row r="51" customFormat="false" ht="15" hidden="false" customHeight="false" outlineLevel="0" collapsed="false">
      <c r="A51" s="11" t="s">
        <v>74</v>
      </c>
      <c r="B51" s="7" t="n">
        <v>26</v>
      </c>
      <c r="C51" s="8" t="n">
        <v>46435</v>
      </c>
      <c r="D51" s="9" t="s">
        <v>37</v>
      </c>
      <c r="E51" s="9" t="s">
        <v>30</v>
      </c>
      <c r="F51" s="9" t="s">
        <v>42</v>
      </c>
      <c r="G51" s="9"/>
      <c r="H51" s="9" t="s">
        <v>32</v>
      </c>
      <c r="I51" s="9" t="s">
        <v>77</v>
      </c>
      <c r="J51" s="9" t="s">
        <v>96</v>
      </c>
      <c r="K51" s="9" t="s">
        <v>40</v>
      </c>
      <c r="L51" s="9" t="s">
        <v>35</v>
      </c>
      <c r="M51" s="9" t="s">
        <v>41</v>
      </c>
      <c r="N51" s="7" t="n">
        <v>16</v>
      </c>
      <c r="O51" s="7" t="n">
        <v>3</v>
      </c>
      <c r="P51" s="7" t="n">
        <v>3</v>
      </c>
      <c r="Q51" s="7" t="n">
        <v>0</v>
      </c>
      <c r="R51" s="7" t="n">
        <v>13</v>
      </c>
      <c r="S51" s="10" t="n">
        <f aca="false">IF(N51=0,0,R51/N51)</f>
        <v>0.8125</v>
      </c>
      <c r="T51" s="7"/>
      <c r="U51" s="7"/>
      <c r="V51" s="7"/>
      <c r="W51" s="7"/>
      <c r="X51" s="7"/>
      <c r="Y51" s="7"/>
    </row>
    <row r="52" customFormat="false" ht="15" hidden="false" customHeight="false" outlineLevel="0" collapsed="false">
      <c r="A52" s="11" t="s">
        <v>74</v>
      </c>
      <c r="B52" s="7" t="n">
        <v>27</v>
      </c>
      <c r="C52" s="8" t="n">
        <v>46437</v>
      </c>
      <c r="D52" s="9" t="s">
        <v>29</v>
      </c>
      <c r="E52" s="9" t="s">
        <v>30</v>
      </c>
      <c r="F52" s="9" t="s">
        <v>38</v>
      </c>
      <c r="G52" s="9"/>
      <c r="H52" s="9" t="s">
        <v>32</v>
      </c>
      <c r="I52" s="9" t="s">
        <v>85</v>
      </c>
      <c r="J52" s="9" t="s">
        <v>97</v>
      </c>
      <c r="K52" s="9" t="s">
        <v>34</v>
      </c>
      <c r="L52" s="9" t="s">
        <v>35</v>
      </c>
      <c r="M52" s="9" t="s">
        <v>36</v>
      </c>
      <c r="N52" s="7" t="n">
        <v>18</v>
      </c>
      <c r="O52" s="7" t="n">
        <v>2</v>
      </c>
      <c r="P52" s="7" t="n">
        <v>2</v>
      </c>
      <c r="Q52" s="7" t="n">
        <v>0</v>
      </c>
      <c r="R52" s="7" t="n">
        <v>16</v>
      </c>
      <c r="S52" s="10" t="n">
        <f aca="false">IF(N52=0,0,R52/N52)</f>
        <v>0.888888888888889</v>
      </c>
      <c r="T52" s="7" t="n">
        <v>1</v>
      </c>
      <c r="U52" s="7" t="n">
        <v>0</v>
      </c>
      <c r="V52" s="7" t="n">
        <v>0</v>
      </c>
      <c r="W52" s="7" t="n">
        <v>0</v>
      </c>
      <c r="X52" s="7" t="n">
        <v>0</v>
      </c>
      <c r="Y52" s="7" t="n">
        <v>0</v>
      </c>
    </row>
    <row r="53" customFormat="false" ht="15" hidden="false" customHeight="false" outlineLevel="0" collapsed="false">
      <c r="A53" s="11" t="s">
        <v>74</v>
      </c>
      <c r="B53" s="7" t="n">
        <v>28</v>
      </c>
      <c r="C53" s="8" t="n">
        <v>46437</v>
      </c>
      <c r="D53" s="9" t="s">
        <v>29</v>
      </c>
      <c r="E53" s="9" t="s">
        <v>30</v>
      </c>
      <c r="F53" s="9" t="s">
        <v>42</v>
      </c>
      <c r="G53" s="9"/>
      <c r="H53" s="9" t="s">
        <v>32</v>
      </c>
      <c r="I53" s="9" t="s">
        <v>77</v>
      </c>
      <c r="J53" s="9" t="s">
        <v>98</v>
      </c>
      <c r="K53" s="9" t="s">
        <v>40</v>
      </c>
      <c r="L53" s="9" t="s">
        <v>35</v>
      </c>
      <c r="M53" s="9" t="s">
        <v>41</v>
      </c>
      <c r="N53" s="7" t="n">
        <v>18</v>
      </c>
      <c r="O53" s="7" t="n">
        <v>6</v>
      </c>
      <c r="P53" s="7" t="n">
        <v>4</v>
      </c>
      <c r="Q53" s="7" t="n">
        <v>2</v>
      </c>
      <c r="R53" s="7" t="n">
        <v>12</v>
      </c>
      <c r="S53" s="10" t="n">
        <f aca="false">IF(N53=0,0,R53/N53)</f>
        <v>0.666666666666667</v>
      </c>
      <c r="T53" s="7"/>
      <c r="U53" s="7"/>
      <c r="V53" s="7"/>
      <c r="W53" s="7"/>
      <c r="X53" s="7"/>
      <c r="Y53" s="7"/>
    </row>
    <row r="54" customFormat="false" ht="15" hidden="false" customHeight="false" outlineLevel="0" collapsed="false">
      <c r="A54" s="11" t="s">
        <v>74</v>
      </c>
      <c r="B54" s="7" t="n">
        <v>29</v>
      </c>
      <c r="C54" s="8" t="n">
        <v>46442</v>
      </c>
      <c r="D54" s="9" t="s">
        <v>37</v>
      </c>
      <c r="E54" s="9" t="s">
        <v>30</v>
      </c>
      <c r="F54" s="9" t="s">
        <v>38</v>
      </c>
      <c r="G54" s="9"/>
      <c r="H54" s="9" t="s">
        <v>32</v>
      </c>
      <c r="I54" s="9" t="s">
        <v>47</v>
      </c>
      <c r="J54" s="9" t="s">
        <v>99</v>
      </c>
      <c r="K54" s="9" t="s">
        <v>34</v>
      </c>
      <c r="L54" s="9" t="s">
        <v>35</v>
      </c>
      <c r="M54" s="9" t="s">
        <v>41</v>
      </c>
      <c r="N54" s="7" t="n">
        <v>16</v>
      </c>
      <c r="O54" s="7" t="n">
        <v>2</v>
      </c>
      <c r="P54" s="7" t="n">
        <v>2</v>
      </c>
      <c r="Q54" s="7" t="n">
        <v>0</v>
      </c>
      <c r="R54" s="7" t="n">
        <v>14</v>
      </c>
      <c r="S54" s="10" t="n">
        <f aca="false">IF(N54=0,0,R54/N54)</f>
        <v>0.875</v>
      </c>
      <c r="T54" s="7"/>
      <c r="U54" s="7"/>
      <c r="V54" s="7"/>
      <c r="W54" s="7"/>
      <c r="X54" s="7"/>
      <c r="Y54" s="7"/>
    </row>
    <row r="55" customFormat="false" ht="15" hidden="false" customHeight="false" outlineLevel="0" collapsed="false">
      <c r="A55" s="11" t="s">
        <v>74</v>
      </c>
      <c r="B55" s="7" t="n">
        <v>30</v>
      </c>
      <c r="C55" s="8" t="n">
        <v>46444</v>
      </c>
      <c r="D55" s="9" t="s">
        <v>29</v>
      </c>
      <c r="E55" s="9" t="s">
        <v>30</v>
      </c>
      <c r="F55" s="9" t="s">
        <v>38</v>
      </c>
      <c r="G55" s="9"/>
      <c r="H55" s="9" t="s">
        <v>32</v>
      </c>
      <c r="I55" s="9" t="s">
        <v>59</v>
      </c>
      <c r="J55" s="9" t="s">
        <v>100</v>
      </c>
      <c r="K55" s="9" t="s">
        <v>34</v>
      </c>
      <c r="L55" s="9" t="s">
        <v>35</v>
      </c>
      <c r="M55" s="9" t="s">
        <v>41</v>
      </c>
      <c r="N55" s="7" t="n">
        <v>15</v>
      </c>
      <c r="O55" s="7" t="n">
        <v>0</v>
      </c>
      <c r="P55" s="7" t="n">
        <v>0</v>
      </c>
      <c r="Q55" s="7" t="n">
        <v>0</v>
      </c>
      <c r="R55" s="7" t="n">
        <v>15</v>
      </c>
      <c r="S55" s="10" t="n">
        <f aca="false">IF(N55=0,0,R55/N55)</f>
        <v>1</v>
      </c>
      <c r="T55" s="7"/>
      <c r="U55" s="7"/>
      <c r="V55" s="7"/>
      <c r="W55" s="7"/>
      <c r="X55" s="7"/>
      <c r="Y55" s="7"/>
    </row>
    <row r="56" customFormat="false" ht="15" hidden="false" customHeight="false" outlineLevel="0" collapsed="false">
      <c r="A56" s="11" t="s">
        <v>74</v>
      </c>
      <c r="B56" s="7" t="n">
        <v>31</v>
      </c>
      <c r="C56" s="8" t="n">
        <v>46444</v>
      </c>
      <c r="D56" s="9" t="s">
        <v>29</v>
      </c>
      <c r="E56" s="9" t="s">
        <v>30</v>
      </c>
      <c r="F56" s="9" t="s">
        <v>42</v>
      </c>
      <c r="G56" s="9"/>
      <c r="H56" s="9" t="s">
        <v>32</v>
      </c>
      <c r="I56" s="9" t="s">
        <v>57</v>
      </c>
      <c r="J56" s="9" t="s">
        <v>101</v>
      </c>
      <c r="K56" s="9" t="s">
        <v>40</v>
      </c>
      <c r="L56" s="9" t="s">
        <v>67</v>
      </c>
      <c r="M56" s="9" t="s">
        <v>41</v>
      </c>
      <c r="N56" s="7" t="n">
        <v>86</v>
      </c>
      <c r="O56" s="7" t="n">
        <v>141</v>
      </c>
      <c r="P56" s="7" t="n">
        <v>67</v>
      </c>
      <c r="Q56" s="7" t="n">
        <v>74</v>
      </c>
      <c r="R56" s="7" t="n">
        <v>-55</v>
      </c>
      <c r="S56" s="10" t="n">
        <f aca="false">IF(N56=0,0,R56/N56)</f>
        <v>-0.63953488372093</v>
      </c>
      <c r="T56" s="7"/>
      <c r="U56" s="7"/>
      <c r="V56" s="7"/>
      <c r="W56" s="7"/>
      <c r="X56" s="7"/>
      <c r="Y56" s="7"/>
    </row>
    <row r="57" customFormat="false" ht="15" hidden="false" customHeight="false" outlineLevel="0" collapsed="false">
      <c r="A57" s="11" t="s">
        <v>74</v>
      </c>
      <c r="B57" s="7" t="n">
        <v>32</v>
      </c>
      <c r="C57" s="8" t="n">
        <v>46449</v>
      </c>
      <c r="D57" s="9" t="s">
        <v>37</v>
      </c>
      <c r="E57" s="9" t="s">
        <v>30</v>
      </c>
      <c r="F57" s="9" t="s">
        <v>38</v>
      </c>
      <c r="G57" s="9"/>
      <c r="H57" s="9" t="s">
        <v>32</v>
      </c>
      <c r="I57" s="9" t="s">
        <v>54</v>
      </c>
      <c r="J57" s="9" t="s">
        <v>102</v>
      </c>
      <c r="K57" s="9" t="s">
        <v>56</v>
      </c>
      <c r="L57" s="9" t="s">
        <v>35</v>
      </c>
      <c r="M57" s="9" t="s">
        <v>41</v>
      </c>
      <c r="N57" s="7" t="n">
        <v>21</v>
      </c>
      <c r="O57" s="7" t="n">
        <v>4</v>
      </c>
      <c r="P57" s="7" t="n">
        <v>3</v>
      </c>
      <c r="Q57" s="7" t="n">
        <v>1</v>
      </c>
      <c r="R57" s="7" t="n">
        <v>17</v>
      </c>
      <c r="S57" s="10" t="n">
        <f aca="false">IF(N57=0,0,R57/N57)</f>
        <v>0.80952380952381</v>
      </c>
      <c r="T57" s="7"/>
      <c r="U57" s="7"/>
      <c r="V57" s="7"/>
      <c r="W57" s="7"/>
      <c r="X57" s="7"/>
      <c r="Y57" s="7"/>
    </row>
    <row r="58" customFormat="false" ht="15" hidden="false" customHeight="false" outlineLevel="0" collapsed="false">
      <c r="A58" s="11" t="s">
        <v>74</v>
      </c>
      <c r="B58" s="7" t="n">
        <v>33</v>
      </c>
      <c r="C58" s="8" t="n">
        <v>46449</v>
      </c>
      <c r="D58" s="9" t="s">
        <v>37</v>
      </c>
      <c r="E58" s="9" t="s">
        <v>30</v>
      </c>
      <c r="F58" s="9" t="s">
        <v>42</v>
      </c>
      <c r="G58" s="9"/>
      <c r="H58" s="9" t="s">
        <v>32</v>
      </c>
      <c r="I58" s="9" t="s">
        <v>57</v>
      </c>
      <c r="J58" s="9" t="s">
        <v>103</v>
      </c>
      <c r="K58" s="9" t="s">
        <v>40</v>
      </c>
      <c r="L58" s="9" t="s">
        <v>35</v>
      </c>
      <c r="M58" s="9" t="s">
        <v>41</v>
      </c>
      <c r="N58" s="7" t="n">
        <v>77</v>
      </c>
      <c r="O58" s="7" t="n">
        <v>146</v>
      </c>
      <c r="P58" s="7" t="n">
        <v>47</v>
      </c>
      <c r="Q58" s="7" t="n">
        <v>99</v>
      </c>
      <c r="R58" s="7" t="n">
        <v>-69</v>
      </c>
      <c r="S58" s="10" t="n">
        <f aca="false">IF(N58=0,0,R58/N58)</f>
        <v>-0.896103896103896</v>
      </c>
      <c r="T58" s="7"/>
      <c r="U58" s="7"/>
      <c r="V58" s="7"/>
      <c r="W58" s="7"/>
      <c r="X58" s="7"/>
      <c r="Y58" s="7"/>
    </row>
    <row r="59" customFormat="false" ht="15" hidden="false" customHeight="false" outlineLevel="0" collapsed="false">
      <c r="A59" s="12" t="s">
        <v>104</v>
      </c>
      <c r="B59" s="7" t="n">
        <v>1</v>
      </c>
      <c r="C59" s="8" t="n">
        <v>46451</v>
      </c>
      <c r="D59" s="9" t="s">
        <v>29</v>
      </c>
      <c r="E59" s="9" t="s">
        <v>30</v>
      </c>
      <c r="F59" s="9" t="s">
        <v>105</v>
      </c>
      <c r="G59" s="9" t="s">
        <v>106</v>
      </c>
      <c r="H59" s="9" t="s">
        <v>32</v>
      </c>
      <c r="I59" s="9" t="s">
        <v>63</v>
      </c>
      <c r="J59" s="9" t="s">
        <v>107</v>
      </c>
      <c r="K59" s="9" t="s">
        <v>40</v>
      </c>
      <c r="L59" s="9" t="s">
        <v>35</v>
      </c>
      <c r="M59" s="9" t="s">
        <v>41</v>
      </c>
      <c r="N59" s="7" t="n">
        <v>13</v>
      </c>
      <c r="O59" s="7" t="n">
        <v>3</v>
      </c>
      <c r="P59" s="7" t="n">
        <v>2</v>
      </c>
      <c r="Q59" s="7" t="n">
        <v>1</v>
      </c>
      <c r="R59" s="7" t="n">
        <v>10</v>
      </c>
      <c r="S59" s="10" t="n">
        <f aca="false">IF(N59=0,0,R59/N59)</f>
        <v>0.769230769230769</v>
      </c>
      <c r="T59" s="7"/>
      <c r="U59" s="7"/>
      <c r="V59" s="7"/>
      <c r="W59" s="7"/>
      <c r="X59" s="7"/>
      <c r="Y59" s="7"/>
    </row>
    <row r="60" customFormat="false" ht="15" hidden="false" customHeight="false" outlineLevel="0" collapsed="false">
      <c r="A60" s="12" t="s">
        <v>104</v>
      </c>
      <c r="B60" s="7" t="n">
        <v>1</v>
      </c>
      <c r="C60" s="8" t="n">
        <v>46451</v>
      </c>
      <c r="D60" s="9" t="s">
        <v>29</v>
      </c>
      <c r="E60" s="9" t="s">
        <v>30</v>
      </c>
      <c r="F60" s="9" t="s">
        <v>105</v>
      </c>
      <c r="G60" s="9" t="s">
        <v>106</v>
      </c>
      <c r="H60" s="9" t="s">
        <v>108</v>
      </c>
      <c r="I60" s="9" t="s">
        <v>63</v>
      </c>
      <c r="J60" s="9" t="s">
        <v>109</v>
      </c>
      <c r="K60" s="9" t="s">
        <v>40</v>
      </c>
      <c r="L60" s="9" t="s">
        <v>35</v>
      </c>
      <c r="M60" s="9" t="s">
        <v>41</v>
      </c>
      <c r="N60" s="7" t="n">
        <v>8</v>
      </c>
      <c r="O60" s="7" t="n">
        <v>0</v>
      </c>
      <c r="P60" s="7" t="n">
        <v>0</v>
      </c>
      <c r="Q60" s="7" t="n">
        <v>0</v>
      </c>
      <c r="R60" s="7" t="n">
        <v>8</v>
      </c>
      <c r="S60" s="10" t="n">
        <f aca="false">IF(N60=0,0,R60/N60)</f>
        <v>1</v>
      </c>
      <c r="T60" s="7"/>
      <c r="U60" s="7"/>
      <c r="V60" s="7"/>
      <c r="W60" s="7"/>
      <c r="X60" s="7"/>
      <c r="Y60" s="7"/>
    </row>
    <row r="61" customFormat="false" ht="15" hidden="false" customHeight="false" outlineLevel="0" collapsed="false">
      <c r="A61" s="12" t="s">
        <v>104</v>
      </c>
      <c r="B61" s="7" t="n">
        <v>1</v>
      </c>
      <c r="C61" s="8" t="n">
        <v>46451</v>
      </c>
      <c r="D61" s="9" t="s">
        <v>29</v>
      </c>
      <c r="E61" s="9" t="s">
        <v>30</v>
      </c>
      <c r="F61" s="9" t="s">
        <v>105</v>
      </c>
      <c r="G61" s="9" t="s">
        <v>106</v>
      </c>
      <c r="H61" s="9" t="s">
        <v>108</v>
      </c>
      <c r="I61" s="9" t="s">
        <v>63</v>
      </c>
      <c r="J61" s="9" t="s">
        <v>110</v>
      </c>
      <c r="K61" s="9" t="s">
        <v>40</v>
      </c>
      <c r="L61" s="9" t="s">
        <v>35</v>
      </c>
      <c r="M61" s="9" t="s">
        <v>41</v>
      </c>
      <c r="N61" s="7" t="n">
        <v>3</v>
      </c>
      <c r="O61" s="7" t="n">
        <v>0</v>
      </c>
      <c r="P61" s="7" t="n">
        <v>0</v>
      </c>
      <c r="Q61" s="7" t="n">
        <v>0</v>
      </c>
      <c r="R61" s="7" t="n">
        <v>3</v>
      </c>
      <c r="S61" s="10" t="n">
        <f aca="false">IF(N61=0,0,R61/N61)</f>
        <v>1</v>
      </c>
      <c r="T61" s="7"/>
      <c r="U61" s="7"/>
      <c r="V61" s="7"/>
      <c r="W61" s="7"/>
      <c r="X61" s="7"/>
      <c r="Y61" s="7"/>
    </row>
    <row r="62" customFormat="false" ht="15" hidden="false" customHeight="false" outlineLevel="0" collapsed="false">
      <c r="A62" s="12" t="s">
        <v>104</v>
      </c>
      <c r="B62" s="7" t="n">
        <v>2</v>
      </c>
      <c r="C62" s="8" t="n">
        <v>46451</v>
      </c>
      <c r="D62" s="9" t="s">
        <v>29</v>
      </c>
      <c r="E62" s="9" t="s">
        <v>30</v>
      </c>
      <c r="F62" s="9" t="s">
        <v>105</v>
      </c>
      <c r="G62" s="9" t="s">
        <v>111</v>
      </c>
      <c r="H62" s="9" t="s">
        <v>32</v>
      </c>
      <c r="I62" s="9" t="s">
        <v>59</v>
      </c>
      <c r="J62" s="9" t="s">
        <v>112</v>
      </c>
      <c r="K62" s="9" t="s">
        <v>34</v>
      </c>
      <c r="L62" s="9" t="s">
        <v>35</v>
      </c>
      <c r="M62" s="9" t="s">
        <v>36</v>
      </c>
      <c r="N62" s="7" t="n">
        <v>9</v>
      </c>
      <c r="O62" s="7" t="n">
        <v>1</v>
      </c>
      <c r="P62" s="7" t="n">
        <v>1</v>
      </c>
      <c r="Q62" s="7" t="n">
        <v>0</v>
      </c>
      <c r="R62" s="7" t="n">
        <v>8</v>
      </c>
      <c r="S62" s="10" t="n">
        <f aca="false">IF(N62=0,0,R62/N62)</f>
        <v>0.888888888888889</v>
      </c>
      <c r="T62" s="7" t="n">
        <v>1</v>
      </c>
      <c r="U62" s="7" t="n">
        <v>20</v>
      </c>
      <c r="V62" s="7" t="n">
        <v>0</v>
      </c>
      <c r="W62" s="7" t="n">
        <v>0</v>
      </c>
      <c r="X62" s="7" t="n">
        <v>0</v>
      </c>
      <c r="Y62" s="7" t="n">
        <v>0</v>
      </c>
    </row>
    <row r="63" customFormat="false" ht="15" hidden="false" customHeight="false" outlineLevel="0" collapsed="false">
      <c r="A63" s="12" t="s">
        <v>104</v>
      </c>
      <c r="B63" s="7" t="n">
        <v>2</v>
      </c>
      <c r="C63" s="8" t="n">
        <v>46451</v>
      </c>
      <c r="D63" s="9" t="s">
        <v>29</v>
      </c>
      <c r="E63" s="9" t="s">
        <v>30</v>
      </c>
      <c r="F63" s="9" t="s">
        <v>105</v>
      </c>
      <c r="G63" s="9" t="s">
        <v>111</v>
      </c>
      <c r="H63" s="9" t="s">
        <v>108</v>
      </c>
      <c r="I63" s="9" t="s">
        <v>54</v>
      </c>
      <c r="J63" s="9" t="s">
        <v>113</v>
      </c>
      <c r="K63" s="9" t="s">
        <v>56</v>
      </c>
      <c r="L63" s="9" t="s">
        <v>35</v>
      </c>
      <c r="M63" s="9" t="s">
        <v>41</v>
      </c>
      <c r="N63" s="7" t="n">
        <v>13</v>
      </c>
      <c r="O63" s="7" t="n">
        <v>5</v>
      </c>
      <c r="P63" s="7" t="n">
        <v>5</v>
      </c>
      <c r="Q63" s="7" t="n">
        <v>0</v>
      </c>
      <c r="R63" s="7" t="n">
        <v>8</v>
      </c>
      <c r="S63" s="10" t="n">
        <f aca="false">IF(N63=0,0,R63/N63)</f>
        <v>0.615384615384615</v>
      </c>
      <c r="T63" s="7"/>
      <c r="U63" s="7"/>
      <c r="V63" s="7"/>
      <c r="W63" s="7"/>
      <c r="X63" s="7"/>
      <c r="Y63" s="7"/>
    </row>
    <row r="64" customFormat="false" ht="15" hidden="false" customHeight="false" outlineLevel="0" collapsed="false">
      <c r="A64" s="12" t="s">
        <v>104</v>
      </c>
      <c r="B64" s="7" t="n">
        <v>2</v>
      </c>
      <c r="C64" s="8" t="n">
        <v>46451</v>
      </c>
      <c r="D64" s="9" t="s">
        <v>29</v>
      </c>
      <c r="E64" s="9" t="s">
        <v>30</v>
      </c>
      <c r="F64" s="9" t="s">
        <v>105</v>
      </c>
      <c r="G64" s="9" t="s">
        <v>111</v>
      </c>
      <c r="H64" s="9" t="s">
        <v>108</v>
      </c>
      <c r="I64" s="9" t="s">
        <v>59</v>
      </c>
      <c r="J64" s="9" t="s">
        <v>114</v>
      </c>
      <c r="K64" s="9" t="s">
        <v>34</v>
      </c>
      <c r="L64" s="9" t="s">
        <v>35</v>
      </c>
      <c r="M64" s="9" t="s">
        <v>41</v>
      </c>
      <c r="N64" s="7" t="n">
        <v>10</v>
      </c>
      <c r="O64" s="7" t="n">
        <v>2</v>
      </c>
      <c r="P64" s="7" t="n">
        <v>2</v>
      </c>
      <c r="Q64" s="7" t="n">
        <v>0</v>
      </c>
      <c r="R64" s="7" t="n">
        <v>8</v>
      </c>
      <c r="S64" s="10" t="n">
        <f aca="false">IF(N64=0,0,R64/N64)</f>
        <v>0.8</v>
      </c>
      <c r="T64" s="7"/>
      <c r="U64" s="7"/>
      <c r="V64" s="7"/>
      <c r="W64" s="7"/>
      <c r="X64" s="7"/>
      <c r="Y64" s="7"/>
    </row>
    <row r="65" customFormat="false" ht="15" hidden="false" customHeight="false" outlineLevel="0" collapsed="false">
      <c r="A65" s="12" t="s">
        <v>104</v>
      </c>
      <c r="B65" s="7" t="n">
        <v>3</v>
      </c>
      <c r="C65" s="8" t="n">
        <v>46458</v>
      </c>
      <c r="D65" s="9" t="s">
        <v>29</v>
      </c>
      <c r="E65" s="9" t="s">
        <v>30</v>
      </c>
      <c r="F65" s="9" t="s">
        <v>105</v>
      </c>
      <c r="G65" s="9" t="s">
        <v>115</v>
      </c>
      <c r="H65" s="9" t="s">
        <v>32</v>
      </c>
      <c r="I65" s="9" t="s">
        <v>65</v>
      </c>
      <c r="J65" s="9" t="s">
        <v>116</v>
      </c>
      <c r="K65" s="9" t="s">
        <v>56</v>
      </c>
      <c r="L65" s="9" t="s">
        <v>35</v>
      </c>
      <c r="M65" s="9" t="s">
        <v>41</v>
      </c>
      <c r="N65" s="7" t="n">
        <v>14</v>
      </c>
      <c r="O65" s="7" t="n">
        <v>2</v>
      </c>
      <c r="P65" s="7" t="n">
        <v>2</v>
      </c>
      <c r="Q65" s="7" t="n">
        <v>0</v>
      </c>
      <c r="R65" s="7" t="n">
        <v>12</v>
      </c>
      <c r="S65" s="10" t="n">
        <f aca="false">IF(N65=0,0,R65/N65)</f>
        <v>0.857142857142857</v>
      </c>
      <c r="T65" s="7"/>
      <c r="U65" s="7"/>
      <c r="V65" s="7"/>
      <c r="W65" s="7"/>
      <c r="X65" s="7"/>
      <c r="Y65" s="7"/>
    </row>
    <row r="66" customFormat="false" ht="15" hidden="false" customHeight="false" outlineLevel="0" collapsed="false">
      <c r="A66" s="12" t="s">
        <v>104</v>
      </c>
      <c r="B66" s="7" t="n">
        <v>3</v>
      </c>
      <c r="C66" s="8" t="n">
        <v>46458</v>
      </c>
      <c r="D66" s="9" t="s">
        <v>29</v>
      </c>
      <c r="E66" s="9" t="s">
        <v>30</v>
      </c>
      <c r="F66" s="9" t="s">
        <v>105</v>
      </c>
      <c r="G66" s="9" t="s">
        <v>115</v>
      </c>
      <c r="H66" s="9" t="s">
        <v>108</v>
      </c>
      <c r="I66" s="9" t="s">
        <v>65</v>
      </c>
      <c r="J66" s="9" t="s">
        <v>117</v>
      </c>
      <c r="K66" s="9" t="s">
        <v>56</v>
      </c>
      <c r="L66" s="9" t="s">
        <v>35</v>
      </c>
      <c r="M66" s="9" t="s">
        <v>41</v>
      </c>
      <c r="N66" s="7" t="n">
        <v>11</v>
      </c>
      <c r="O66" s="7" t="n">
        <v>2</v>
      </c>
      <c r="P66" s="7" t="n">
        <v>2</v>
      </c>
      <c r="Q66" s="7" t="n">
        <v>0</v>
      </c>
      <c r="R66" s="7" t="n">
        <v>9</v>
      </c>
      <c r="S66" s="10" t="n">
        <f aca="false">IF(N66=0,0,R66/N66)</f>
        <v>0.818181818181818</v>
      </c>
      <c r="T66" s="7"/>
      <c r="U66" s="7"/>
      <c r="V66" s="7"/>
      <c r="W66" s="7"/>
      <c r="X66" s="7"/>
      <c r="Y66" s="7"/>
    </row>
    <row r="67" customFormat="false" ht="15" hidden="false" customHeight="false" outlineLevel="0" collapsed="false">
      <c r="A67" s="12" t="s">
        <v>104</v>
      </c>
      <c r="B67" s="7" t="n">
        <v>3</v>
      </c>
      <c r="C67" s="8" t="n">
        <v>46458</v>
      </c>
      <c r="D67" s="9" t="s">
        <v>29</v>
      </c>
      <c r="E67" s="9" t="s">
        <v>30</v>
      </c>
      <c r="F67" s="9" t="s">
        <v>105</v>
      </c>
      <c r="G67" s="9" t="s">
        <v>115</v>
      </c>
      <c r="H67" s="9" t="s">
        <v>108</v>
      </c>
      <c r="I67" s="9" t="s">
        <v>65</v>
      </c>
      <c r="J67" s="9" t="s">
        <v>118</v>
      </c>
      <c r="K67" s="9" t="s">
        <v>56</v>
      </c>
      <c r="L67" s="9" t="s">
        <v>35</v>
      </c>
      <c r="M67" s="9" t="s">
        <v>41</v>
      </c>
      <c r="N67" s="7" t="n">
        <v>4</v>
      </c>
      <c r="O67" s="7" t="n">
        <v>1</v>
      </c>
      <c r="P67" s="7" t="n">
        <v>1</v>
      </c>
      <c r="Q67" s="7" t="n">
        <v>0</v>
      </c>
      <c r="R67" s="7" t="n">
        <v>3</v>
      </c>
      <c r="S67" s="10" t="n">
        <f aca="false">IF(N67=0,0,R67/N67)</f>
        <v>0.75</v>
      </c>
      <c r="T67" s="7"/>
      <c r="U67" s="7"/>
      <c r="V67" s="7"/>
      <c r="W67" s="7"/>
      <c r="X67" s="7"/>
      <c r="Y67" s="7"/>
    </row>
    <row r="68" customFormat="false" ht="15" hidden="false" customHeight="false" outlineLevel="0" collapsed="false">
      <c r="A68" s="12" t="s">
        <v>104</v>
      </c>
      <c r="B68" s="7" t="n">
        <v>4</v>
      </c>
      <c r="C68" s="8" t="n">
        <v>46458</v>
      </c>
      <c r="D68" s="9" t="s">
        <v>29</v>
      </c>
      <c r="E68" s="9" t="s">
        <v>30</v>
      </c>
      <c r="F68" s="9" t="s">
        <v>105</v>
      </c>
      <c r="G68" s="9" t="s">
        <v>119</v>
      </c>
      <c r="H68" s="9" t="s">
        <v>32</v>
      </c>
      <c r="I68" s="9" t="s">
        <v>85</v>
      </c>
      <c r="J68" s="9" t="s">
        <v>120</v>
      </c>
      <c r="K68" s="9" t="s">
        <v>34</v>
      </c>
      <c r="L68" s="9" t="s">
        <v>35</v>
      </c>
      <c r="M68" s="9" t="s">
        <v>41</v>
      </c>
      <c r="N68" s="7" t="n">
        <v>10</v>
      </c>
      <c r="O68" s="7" t="n">
        <v>0</v>
      </c>
      <c r="P68" s="7" t="n">
        <v>0</v>
      </c>
      <c r="Q68" s="7" t="n">
        <v>0</v>
      </c>
      <c r="R68" s="7" t="n">
        <v>10</v>
      </c>
      <c r="S68" s="10" t="n">
        <f aca="false">IF(N68=0,0,R68/N68)</f>
        <v>1</v>
      </c>
      <c r="T68" s="7"/>
      <c r="U68" s="7"/>
      <c r="V68" s="7"/>
      <c r="W68" s="7"/>
      <c r="X68" s="7"/>
      <c r="Y68" s="7"/>
    </row>
    <row r="69" customFormat="false" ht="15" hidden="false" customHeight="false" outlineLevel="0" collapsed="false">
      <c r="A69" s="12" t="s">
        <v>104</v>
      </c>
      <c r="B69" s="7" t="n">
        <v>4</v>
      </c>
      <c r="C69" s="8" t="n">
        <v>46458</v>
      </c>
      <c r="D69" s="9" t="s">
        <v>29</v>
      </c>
      <c r="E69" s="9" t="s">
        <v>30</v>
      </c>
      <c r="F69" s="9" t="s">
        <v>105</v>
      </c>
      <c r="G69" s="9" t="s">
        <v>119</v>
      </c>
      <c r="H69" s="9" t="s">
        <v>108</v>
      </c>
      <c r="I69" s="9" t="s">
        <v>85</v>
      </c>
      <c r="J69" s="9" t="s">
        <v>121</v>
      </c>
      <c r="K69" s="9" t="s">
        <v>34</v>
      </c>
      <c r="L69" s="9" t="s">
        <v>35</v>
      </c>
      <c r="M69" s="9" t="s">
        <v>41</v>
      </c>
      <c r="N69" s="7" t="n">
        <v>5</v>
      </c>
      <c r="O69" s="7" t="n">
        <v>0</v>
      </c>
      <c r="P69" s="7" t="n">
        <v>0</v>
      </c>
      <c r="Q69" s="7" t="n">
        <v>0</v>
      </c>
      <c r="R69" s="7" t="n">
        <v>5</v>
      </c>
      <c r="S69" s="10" t="n">
        <f aca="false">IF(N69=0,0,R69/N69)</f>
        <v>1</v>
      </c>
      <c r="T69" s="7"/>
      <c r="U69" s="7"/>
      <c r="V69" s="7"/>
      <c r="W69" s="7"/>
      <c r="X69" s="7"/>
      <c r="Y69" s="7"/>
    </row>
    <row r="70" customFormat="false" ht="15" hidden="false" customHeight="false" outlineLevel="0" collapsed="false">
      <c r="A70" s="12" t="s">
        <v>104</v>
      </c>
      <c r="B70" s="7" t="n">
        <v>5</v>
      </c>
      <c r="C70" s="8" t="n">
        <v>46463</v>
      </c>
      <c r="D70" s="9" t="s">
        <v>37</v>
      </c>
      <c r="E70" s="9" t="s">
        <v>30</v>
      </c>
      <c r="F70" s="9" t="s">
        <v>105</v>
      </c>
      <c r="G70" s="9" t="s">
        <v>122</v>
      </c>
      <c r="H70" s="9" t="s">
        <v>32</v>
      </c>
      <c r="I70" s="9" t="s">
        <v>39</v>
      </c>
      <c r="J70" s="9" t="s">
        <v>123</v>
      </c>
      <c r="K70" s="9" t="s">
        <v>40</v>
      </c>
      <c r="L70" s="9" t="s">
        <v>35</v>
      </c>
      <c r="M70" s="9" t="s">
        <v>41</v>
      </c>
      <c r="N70" s="7" t="n">
        <v>14</v>
      </c>
      <c r="O70" s="7" t="n">
        <v>1</v>
      </c>
      <c r="P70" s="7" t="n">
        <v>1</v>
      </c>
      <c r="Q70" s="7" t="n">
        <v>0</v>
      </c>
      <c r="R70" s="7" t="n">
        <v>13</v>
      </c>
      <c r="S70" s="10" t="n">
        <f aca="false">IF(N70=0,0,R70/N70)</f>
        <v>0.928571428571429</v>
      </c>
      <c r="T70" s="7"/>
      <c r="U70" s="7"/>
      <c r="V70" s="7"/>
      <c r="W70" s="7"/>
      <c r="X70" s="7"/>
      <c r="Y70" s="7"/>
    </row>
    <row r="71" customFormat="false" ht="15" hidden="false" customHeight="false" outlineLevel="0" collapsed="false">
      <c r="A71" s="12" t="s">
        <v>104</v>
      </c>
      <c r="B71" s="7" t="n">
        <v>5</v>
      </c>
      <c r="C71" s="8" t="n">
        <v>46463</v>
      </c>
      <c r="D71" s="9" t="s">
        <v>37</v>
      </c>
      <c r="E71" s="9" t="s">
        <v>30</v>
      </c>
      <c r="F71" s="9" t="s">
        <v>105</v>
      </c>
      <c r="G71" s="9" t="s">
        <v>122</v>
      </c>
      <c r="H71" s="9" t="s">
        <v>108</v>
      </c>
      <c r="I71" s="9" t="s">
        <v>44</v>
      </c>
      <c r="J71" s="9" t="s">
        <v>124</v>
      </c>
      <c r="K71" s="9" t="s">
        <v>40</v>
      </c>
      <c r="L71" s="9" t="s">
        <v>35</v>
      </c>
      <c r="M71" s="9" t="s">
        <v>41</v>
      </c>
      <c r="N71" s="7" t="n">
        <v>11</v>
      </c>
      <c r="O71" s="7" t="n">
        <v>1</v>
      </c>
      <c r="P71" s="7" t="n">
        <v>1</v>
      </c>
      <c r="Q71" s="7" t="n">
        <v>0</v>
      </c>
      <c r="R71" s="7" t="n">
        <v>10</v>
      </c>
      <c r="S71" s="10" t="n">
        <f aca="false">IF(N71=0,0,R71/N71)</f>
        <v>0.909090909090909</v>
      </c>
      <c r="T71" s="7"/>
      <c r="U71" s="7"/>
      <c r="V71" s="7"/>
      <c r="W71" s="7"/>
      <c r="X71" s="7"/>
      <c r="Y71" s="7"/>
    </row>
    <row r="72" customFormat="false" ht="15" hidden="false" customHeight="false" outlineLevel="0" collapsed="false">
      <c r="A72" s="12" t="s">
        <v>104</v>
      </c>
      <c r="B72" s="7" t="n">
        <v>6</v>
      </c>
      <c r="C72" s="8" t="n">
        <v>46465</v>
      </c>
      <c r="D72" s="9" t="s">
        <v>29</v>
      </c>
      <c r="E72" s="9" t="s">
        <v>30</v>
      </c>
      <c r="F72" s="9" t="s">
        <v>105</v>
      </c>
      <c r="G72" s="9" t="s">
        <v>125</v>
      </c>
      <c r="H72" s="9" t="s">
        <v>32</v>
      </c>
      <c r="I72" s="9" t="s">
        <v>70</v>
      </c>
      <c r="J72" s="9" t="s">
        <v>126</v>
      </c>
      <c r="K72" s="9" t="s">
        <v>71</v>
      </c>
      <c r="L72" s="9" t="s">
        <v>35</v>
      </c>
      <c r="M72" s="9" t="s">
        <v>41</v>
      </c>
      <c r="N72" s="7" t="n">
        <v>11</v>
      </c>
      <c r="O72" s="7" t="n">
        <v>3</v>
      </c>
      <c r="P72" s="7" t="n">
        <v>3</v>
      </c>
      <c r="Q72" s="7" t="n">
        <v>0</v>
      </c>
      <c r="R72" s="7" t="n">
        <v>8</v>
      </c>
      <c r="S72" s="10" t="n">
        <f aca="false">IF(N72=0,0,R72/N72)</f>
        <v>0.727272727272727</v>
      </c>
      <c r="T72" s="7"/>
      <c r="U72" s="7"/>
      <c r="V72" s="7"/>
      <c r="W72" s="7"/>
      <c r="X72" s="7"/>
      <c r="Y72" s="7"/>
    </row>
    <row r="73" customFormat="false" ht="15" hidden="false" customHeight="false" outlineLevel="0" collapsed="false">
      <c r="A73" s="12" t="s">
        <v>104</v>
      </c>
      <c r="B73" s="7" t="n">
        <v>6</v>
      </c>
      <c r="C73" s="8" t="n">
        <v>46465</v>
      </c>
      <c r="D73" s="9" t="s">
        <v>29</v>
      </c>
      <c r="E73" s="9" t="s">
        <v>30</v>
      </c>
      <c r="F73" s="9" t="s">
        <v>105</v>
      </c>
      <c r="G73" s="9" t="s">
        <v>125</v>
      </c>
      <c r="H73" s="9" t="s">
        <v>108</v>
      </c>
      <c r="I73" s="9" t="s">
        <v>70</v>
      </c>
      <c r="J73" s="9" t="s">
        <v>127</v>
      </c>
      <c r="K73" s="9" t="s">
        <v>71</v>
      </c>
      <c r="L73" s="9" t="s">
        <v>35</v>
      </c>
      <c r="M73" s="9" t="s">
        <v>41</v>
      </c>
      <c r="N73" s="7" t="n">
        <v>6</v>
      </c>
      <c r="O73" s="7" t="n">
        <v>0</v>
      </c>
      <c r="P73" s="7" t="n">
        <v>0</v>
      </c>
      <c r="Q73" s="7" t="n">
        <v>0</v>
      </c>
      <c r="R73" s="7" t="n">
        <v>6</v>
      </c>
      <c r="S73" s="10" t="n">
        <f aca="false">IF(N73=0,0,R73/N73)</f>
        <v>1</v>
      </c>
      <c r="T73" s="7"/>
      <c r="U73" s="7"/>
      <c r="V73" s="7"/>
      <c r="W73" s="7"/>
      <c r="X73" s="7"/>
      <c r="Y73" s="7"/>
    </row>
    <row r="74" customFormat="false" ht="15" hidden="false" customHeight="false" outlineLevel="0" collapsed="false">
      <c r="A74" s="12" t="s">
        <v>104</v>
      </c>
      <c r="B74" s="7" t="n">
        <v>7</v>
      </c>
      <c r="C74" s="8" t="n">
        <v>46470</v>
      </c>
      <c r="D74" s="9" t="s">
        <v>37</v>
      </c>
      <c r="E74" s="9" t="s">
        <v>30</v>
      </c>
      <c r="F74" s="9" t="s">
        <v>105</v>
      </c>
      <c r="G74" s="9" t="s">
        <v>128</v>
      </c>
      <c r="H74" s="9" t="s">
        <v>32</v>
      </c>
      <c r="I74" s="9" t="s">
        <v>129</v>
      </c>
      <c r="J74" s="9" t="s">
        <v>130</v>
      </c>
      <c r="K74" s="9" t="s">
        <v>71</v>
      </c>
      <c r="L74" s="9" t="s">
        <v>35</v>
      </c>
      <c r="M74" s="9" t="s">
        <v>41</v>
      </c>
      <c r="N74" s="7" t="n">
        <v>3</v>
      </c>
      <c r="O74" s="7" t="n">
        <v>0</v>
      </c>
      <c r="P74" s="7" t="n">
        <v>0</v>
      </c>
      <c r="Q74" s="7" t="n">
        <v>0</v>
      </c>
      <c r="R74" s="7" t="n">
        <v>3</v>
      </c>
      <c r="S74" s="10" t="n">
        <f aca="false">IF(N74=0,0,R74/N74)</f>
        <v>1</v>
      </c>
      <c r="T74" s="7"/>
      <c r="U74" s="7"/>
      <c r="V74" s="7"/>
      <c r="W74" s="7"/>
      <c r="X74" s="7"/>
      <c r="Y74" s="7"/>
    </row>
    <row r="75" customFormat="false" ht="15" hidden="false" customHeight="false" outlineLevel="0" collapsed="false">
      <c r="A75" s="12" t="s">
        <v>104</v>
      </c>
      <c r="B75" s="7" t="n">
        <v>7</v>
      </c>
      <c r="C75" s="8" t="n">
        <v>46470</v>
      </c>
      <c r="D75" s="9" t="s">
        <v>37</v>
      </c>
      <c r="E75" s="9" t="s">
        <v>30</v>
      </c>
      <c r="F75" s="9" t="s">
        <v>105</v>
      </c>
      <c r="G75" s="9" t="s">
        <v>128</v>
      </c>
      <c r="H75" s="9" t="s">
        <v>108</v>
      </c>
      <c r="I75" s="9" t="s">
        <v>129</v>
      </c>
      <c r="J75" s="9" t="s">
        <v>129</v>
      </c>
      <c r="K75" s="9" t="s">
        <v>71</v>
      </c>
      <c r="L75" s="9" t="s">
        <v>35</v>
      </c>
      <c r="M75" s="9" t="s">
        <v>41</v>
      </c>
      <c r="N75" s="7" t="n">
        <v>2</v>
      </c>
      <c r="O75" s="7" t="n">
        <v>0</v>
      </c>
      <c r="P75" s="7" t="n">
        <v>0</v>
      </c>
      <c r="Q75" s="7" t="n">
        <v>0</v>
      </c>
      <c r="R75" s="7" t="n">
        <v>2</v>
      </c>
      <c r="S75" s="10" t="n">
        <f aca="false">IF(N75=0,0,R75/N75)</f>
        <v>1</v>
      </c>
      <c r="T75" s="7"/>
      <c r="U75" s="7"/>
      <c r="V75" s="7"/>
      <c r="W75" s="7"/>
      <c r="X75" s="7"/>
      <c r="Y75" s="7"/>
    </row>
    <row r="76" customFormat="false" ht="15" hidden="false" customHeight="false" outlineLevel="0" collapsed="false">
      <c r="A76" s="12" t="s">
        <v>104</v>
      </c>
      <c r="B76" s="7" t="n">
        <v>7</v>
      </c>
      <c r="C76" s="8" t="n">
        <v>46470</v>
      </c>
      <c r="D76" s="9" t="s">
        <v>37</v>
      </c>
      <c r="E76" s="9" t="s">
        <v>30</v>
      </c>
      <c r="F76" s="9" t="s">
        <v>105</v>
      </c>
      <c r="G76" s="9" t="s">
        <v>128</v>
      </c>
      <c r="H76" s="9" t="s">
        <v>108</v>
      </c>
      <c r="I76" s="9" t="s">
        <v>129</v>
      </c>
      <c r="J76" s="9" t="s">
        <v>131</v>
      </c>
      <c r="K76" s="9" t="s">
        <v>71</v>
      </c>
      <c r="L76" s="9" t="s">
        <v>35</v>
      </c>
      <c r="M76" s="9" t="s">
        <v>41</v>
      </c>
      <c r="N76" s="7" t="n">
        <v>1</v>
      </c>
      <c r="O76" s="7" t="n">
        <v>0</v>
      </c>
      <c r="P76" s="7" t="n">
        <v>0</v>
      </c>
      <c r="Q76" s="7" t="n">
        <v>0</v>
      </c>
      <c r="R76" s="7" t="n">
        <v>1</v>
      </c>
      <c r="S76" s="10" t="n">
        <f aca="false">IF(N76=0,0,R76/N76)</f>
        <v>1</v>
      </c>
      <c r="T76" s="7"/>
      <c r="U76" s="7"/>
      <c r="V76" s="7"/>
      <c r="W76" s="7"/>
      <c r="X76" s="7"/>
      <c r="Y76" s="7"/>
    </row>
    <row r="77" customFormat="false" ht="15" hidden="false" customHeight="false" outlineLevel="0" collapsed="false">
      <c r="A77" s="12" t="s">
        <v>104</v>
      </c>
      <c r="B77" s="7" t="n">
        <v>7</v>
      </c>
      <c r="C77" s="8" t="n">
        <v>46470</v>
      </c>
      <c r="D77" s="9" t="s">
        <v>37</v>
      </c>
      <c r="E77" s="9" t="s">
        <v>30</v>
      </c>
      <c r="F77" s="9" t="s">
        <v>105</v>
      </c>
      <c r="G77" s="9" t="s">
        <v>128</v>
      </c>
      <c r="H77" s="9" t="s">
        <v>108</v>
      </c>
      <c r="I77" s="9" t="s">
        <v>129</v>
      </c>
      <c r="J77" s="9" t="s">
        <v>132</v>
      </c>
      <c r="K77" s="9" t="s">
        <v>71</v>
      </c>
      <c r="L77" s="9" t="s">
        <v>35</v>
      </c>
      <c r="M77" s="9" t="s">
        <v>41</v>
      </c>
      <c r="N77" s="7" t="n">
        <v>3</v>
      </c>
      <c r="O77" s="7" t="n">
        <v>1</v>
      </c>
      <c r="P77" s="7" t="n">
        <v>1</v>
      </c>
      <c r="Q77" s="7" t="n">
        <v>0</v>
      </c>
      <c r="R77" s="7" t="n">
        <v>2</v>
      </c>
      <c r="S77" s="10" t="n">
        <f aca="false">IF(N77=0,0,R77/N77)</f>
        <v>0.666666666666667</v>
      </c>
      <c r="T77" s="7"/>
      <c r="U77" s="7"/>
      <c r="V77" s="7"/>
      <c r="W77" s="7"/>
      <c r="X77" s="7"/>
      <c r="Y77" s="7"/>
    </row>
  </sheetData>
  <autoFilter ref="A1:Y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11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2" min="21" style="0" width="8"/>
  </cols>
  <sheetData>
    <row r="1" customFormat="false" ht="35.0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133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15" hidden="false" customHeight="false" outlineLevel="0" collapsed="false">
      <c r="A2" s="2" t="s">
        <v>25</v>
      </c>
      <c r="B2" s="3"/>
      <c r="C2" s="3"/>
      <c r="D2" s="3"/>
      <c r="E2" s="3"/>
      <c r="F2" s="3"/>
      <c r="G2" s="3" t="s">
        <v>134</v>
      </c>
      <c r="H2" s="3"/>
      <c r="I2" s="3"/>
      <c r="J2" s="3"/>
      <c r="K2" s="4" t="n">
        <f aca="false">SUM(K3:K25)</f>
        <v>1854</v>
      </c>
      <c r="L2" s="4" t="n">
        <f aca="false">SUM(L3:L25)</f>
        <v>588</v>
      </c>
      <c r="M2" s="4" t="n">
        <f aca="false">SUM(M3:M25)</f>
        <v>450</v>
      </c>
      <c r="N2" s="4" t="n">
        <f aca="false">SUM(N3:N25)</f>
        <v>138</v>
      </c>
      <c r="O2" s="4" t="n">
        <f aca="false">SUM(O3:O25)</f>
        <v>1266</v>
      </c>
      <c r="P2" s="5" t="n">
        <f aca="false">IF(K2=0,0,O2/K2)</f>
        <v>0.682847896440129</v>
      </c>
      <c r="Q2" s="4" t="n">
        <f aca="false">SUM(Q3:Q25)</f>
        <v>8</v>
      </c>
      <c r="R2" s="4" t="n">
        <f aca="false">SUM(R3:R25)</f>
        <v>191</v>
      </c>
      <c r="S2" s="4" t="n">
        <f aca="false">SUM(S3:S25)</f>
        <v>6</v>
      </c>
      <c r="T2" s="4" t="n">
        <f aca="false">SUM(T3:T25)</f>
        <v>17</v>
      </c>
      <c r="U2" s="4" t="n">
        <f aca="false">SUM(U3:U25)</f>
        <v>46</v>
      </c>
      <c r="V2" s="4" t="n">
        <f aca="false">SUM(V3:V25)</f>
        <v>5</v>
      </c>
    </row>
    <row r="3" customFormat="false" ht="15" hidden="false" customHeight="false" outlineLevel="0" collapsed="false">
      <c r="A3" s="7" t="n">
        <v>1</v>
      </c>
      <c r="B3" s="8" t="n">
        <v>46304</v>
      </c>
      <c r="C3" s="9" t="s">
        <v>29</v>
      </c>
      <c r="D3" s="9" t="s">
        <v>30</v>
      </c>
      <c r="E3" s="9" t="s">
        <v>31</v>
      </c>
      <c r="F3" s="9" t="s">
        <v>33</v>
      </c>
      <c r="G3" s="9" t="s">
        <v>33</v>
      </c>
      <c r="H3" s="9" t="s">
        <v>34</v>
      </c>
      <c r="I3" s="9" t="s">
        <v>35</v>
      </c>
      <c r="J3" s="9" t="s">
        <v>36</v>
      </c>
      <c r="K3" s="7" t="n">
        <v>211</v>
      </c>
      <c r="L3" s="7" t="n">
        <v>68</v>
      </c>
      <c r="M3" s="7" t="n">
        <v>58</v>
      </c>
      <c r="N3" s="7" t="n">
        <v>10</v>
      </c>
      <c r="O3" s="7" t="n">
        <v>143</v>
      </c>
      <c r="P3" s="10" t="n">
        <f aca="false">IF(K3=0,0,O3/K3)</f>
        <v>0.677725118483412</v>
      </c>
      <c r="Q3" s="7" t="n">
        <v>3</v>
      </c>
      <c r="R3" s="7" t="n">
        <v>74</v>
      </c>
      <c r="S3" s="7" t="n">
        <v>6</v>
      </c>
      <c r="T3" s="7" t="n">
        <v>1</v>
      </c>
      <c r="U3" s="7" t="n">
        <v>24</v>
      </c>
      <c r="V3" s="7" t="n">
        <v>3</v>
      </c>
    </row>
    <row r="4" customFormat="false" ht="15" hidden="false" customHeight="false" outlineLevel="0" collapsed="false">
      <c r="A4" s="7" t="n">
        <v>2</v>
      </c>
      <c r="B4" s="8" t="n">
        <v>46309</v>
      </c>
      <c r="C4" s="9" t="s">
        <v>37</v>
      </c>
      <c r="D4" s="9" t="s">
        <v>30</v>
      </c>
      <c r="E4" s="9" t="s">
        <v>38</v>
      </c>
      <c r="F4" s="9" t="s">
        <v>39</v>
      </c>
      <c r="G4" s="9" t="s">
        <v>39</v>
      </c>
      <c r="H4" s="9" t="s">
        <v>40</v>
      </c>
      <c r="I4" s="9" t="s">
        <v>35</v>
      </c>
      <c r="J4" s="9" t="s">
        <v>41</v>
      </c>
      <c r="K4" s="7" t="n">
        <v>211</v>
      </c>
      <c r="L4" s="7" t="n">
        <v>90</v>
      </c>
      <c r="M4" s="7" t="n">
        <v>57</v>
      </c>
      <c r="N4" s="7" t="n">
        <v>33</v>
      </c>
      <c r="O4" s="7" t="n">
        <v>121</v>
      </c>
      <c r="P4" s="10" t="n">
        <f aca="false">IF(K4=0,0,O4/K4)</f>
        <v>0.573459715639811</v>
      </c>
      <c r="Q4" s="7"/>
      <c r="R4" s="7"/>
      <c r="S4" s="7"/>
      <c r="T4" s="7"/>
      <c r="U4" s="7"/>
      <c r="V4" s="7"/>
    </row>
    <row r="5" customFormat="false" ht="15" hidden="false" customHeight="false" outlineLevel="0" collapsed="false">
      <c r="A5" s="7" t="n">
        <v>3</v>
      </c>
      <c r="B5" s="8" t="n">
        <v>46309</v>
      </c>
      <c r="C5" s="9" t="s">
        <v>37</v>
      </c>
      <c r="D5" s="9" t="s">
        <v>30</v>
      </c>
      <c r="E5" s="9" t="s">
        <v>42</v>
      </c>
      <c r="F5" s="9" t="s">
        <v>33</v>
      </c>
      <c r="G5" s="9" t="s">
        <v>43</v>
      </c>
      <c r="H5" s="9" t="s">
        <v>34</v>
      </c>
      <c r="I5" s="9" t="s">
        <v>35</v>
      </c>
      <c r="J5" s="9" t="s">
        <v>41</v>
      </c>
      <c r="K5" s="7" t="n">
        <v>47</v>
      </c>
      <c r="L5" s="7" t="n">
        <v>3</v>
      </c>
      <c r="M5" s="7" t="n">
        <v>3</v>
      </c>
      <c r="N5" s="7" t="n">
        <v>0</v>
      </c>
      <c r="O5" s="7" t="n">
        <v>44</v>
      </c>
      <c r="P5" s="10" t="n">
        <f aca="false">IF(K5=0,0,O5/K5)</f>
        <v>0.936170212765958</v>
      </c>
      <c r="Q5" s="7"/>
      <c r="R5" s="7"/>
      <c r="S5" s="7"/>
      <c r="T5" s="7"/>
      <c r="U5" s="7"/>
      <c r="V5" s="7"/>
    </row>
    <row r="6" customFormat="false" ht="15" hidden="false" customHeight="false" outlineLevel="0" collapsed="false">
      <c r="A6" s="7" t="n">
        <v>4</v>
      </c>
      <c r="B6" s="8" t="n">
        <v>46311</v>
      </c>
      <c r="C6" s="9" t="s">
        <v>29</v>
      </c>
      <c r="D6" s="9" t="s">
        <v>30</v>
      </c>
      <c r="E6" s="9" t="s">
        <v>38</v>
      </c>
      <c r="F6" s="9" t="s">
        <v>44</v>
      </c>
      <c r="G6" s="9" t="s">
        <v>44</v>
      </c>
      <c r="H6" s="9" t="s">
        <v>40</v>
      </c>
      <c r="I6" s="9" t="s">
        <v>35</v>
      </c>
      <c r="J6" s="9" t="s">
        <v>41</v>
      </c>
      <c r="K6" s="7" t="n">
        <v>103</v>
      </c>
      <c r="L6" s="7" t="n">
        <v>40</v>
      </c>
      <c r="M6" s="7" t="n">
        <v>26</v>
      </c>
      <c r="N6" s="7" t="n">
        <v>14</v>
      </c>
      <c r="O6" s="7" t="n">
        <v>63</v>
      </c>
      <c r="P6" s="10" t="n">
        <f aca="false">IF(K6=0,0,O6/K6)</f>
        <v>0.611650485436893</v>
      </c>
      <c r="Q6" s="7"/>
      <c r="R6" s="7"/>
      <c r="S6" s="7"/>
      <c r="T6" s="7"/>
      <c r="U6" s="7"/>
      <c r="V6" s="7"/>
    </row>
    <row r="7" customFormat="false" ht="15" hidden="false" customHeight="false" outlineLevel="0" collapsed="false">
      <c r="A7" s="7" t="n">
        <v>5</v>
      </c>
      <c r="B7" s="8" t="n">
        <v>46311</v>
      </c>
      <c r="C7" s="9" t="s">
        <v>29</v>
      </c>
      <c r="D7" s="9" t="s">
        <v>30</v>
      </c>
      <c r="E7" s="9" t="s">
        <v>42</v>
      </c>
      <c r="F7" s="9" t="s">
        <v>33</v>
      </c>
      <c r="G7" s="9" t="s">
        <v>45</v>
      </c>
      <c r="H7" s="9" t="s">
        <v>34</v>
      </c>
      <c r="I7" s="9" t="s">
        <v>35</v>
      </c>
      <c r="J7" s="9" t="s">
        <v>41</v>
      </c>
      <c r="K7" s="7" t="n">
        <v>24</v>
      </c>
      <c r="L7" s="7" t="n">
        <v>1</v>
      </c>
      <c r="M7" s="7" t="n">
        <v>1</v>
      </c>
      <c r="N7" s="7" t="n">
        <v>0</v>
      </c>
      <c r="O7" s="7" t="n">
        <v>23</v>
      </c>
      <c r="P7" s="10" t="n">
        <f aca="false">IF(K7=0,0,O7/K7)</f>
        <v>0.958333333333333</v>
      </c>
      <c r="Q7" s="7"/>
      <c r="R7" s="7"/>
      <c r="S7" s="7"/>
      <c r="T7" s="7"/>
      <c r="U7" s="7"/>
      <c r="V7" s="7"/>
    </row>
    <row r="8" customFormat="false" ht="15" hidden="false" customHeight="false" outlineLevel="0" collapsed="false">
      <c r="A8" s="7" t="n">
        <v>6</v>
      </c>
      <c r="B8" s="8" t="n">
        <v>46318</v>
      </c>
      <c r="C8" s="9" t="s">
        <v>29</v>
      </c>
      <c r="D8" s="9" t="s">
        <v>30</v>
      </c>
      <c r="E8" s="9" t="s">
        <v>38</v>
      </c>
      <c r="F8" s="9" t="s">
        <v>44</v>
      </c>
      <c r="G8" s="9" t="s">
        <v>46</v>
      </c>
      <c r="H8" s="9" t="s">
        <v>40</v>
      </c>
      <c r="I8" s="9" t="s">
        <v>35</v>
      </c>
      <c r="J8" s="9" t="s">
        <v>41</v>
      </c>
      <c r="K8" s="7" t="n">
        <v>91</v>
      </c>
      <c r="L8" s="7" t="n">
        <v>21</v>
      </c>
      <c r="M8" s="7" t="n">
        <v>21</v>
      </c>
      <c r="N8" s="7" t="n">
        <v>0</v>
      </c>
      <c r="O8" s="7" t="n">
        <v>70</v>
      </c>
      <c r="P8" s="10" t="n">
        <f aca="false">IF(K8=0,0,O8/K8)</f>
        <v>0.769230769230769</v>
      </c>
      <c r="Q8" s="7"/>
      <c r="R8" s="7"/>
      <c r="S8" s="7"/>
      <c r="T8" s="7"/>
      <c r="U8" s="7"/>
      <c r="V8" s="7"/>
    </row>
    <row r="9" customFormat="false" ht="15" hidden="false" customHeight="false" outlineLevel="0" collapsed="false">
      <c r="A9" s="7" t="n">
        <v>7</v>
      </c>
      <c r="B9" s="8" t="n">
        <v>46318</v>
      </c>
      <c r="C9" s="9" t="s">
        <v>29</v>
      </c>
      <c r="D9" s="9" t="s">
        <v>30</v>
      </c>
      <c r="E9" s="9" t="s">
        <v>42</v>
      </c>
      <c r="F9" s="9" t="s">
        <v>47</v>
      </c>
      <c r="G9" s="9" t="s">
        <v>48</v>
      </c>
      <c r="H9" s="9" t="s">
        <v>34</v>
      </c>
      <c r="I9" s="9" t="s">
        <v>35</v>
      </c>
      <c r="J9" s="9" t="s">
        <v>41</v>
      </c>
      <c r="K9" s="7" t="n">
        <v>46</v>
      </c>
      <c r="L9" s="7" t="n">
        <v>7</v>
      </c>
      <c r="M9" s="7" t="n">
        <v>7</v>
      </c>
      <c r="N9" s="7" t="n">
        <v>0</v>
      </c>
      <c r="O9" s="7" t="n">
        <v>39</v>
      </c>
      <c r="P9" s="10" t="n">
        <f aca="false">IF(K9=0,0,O9/K9)</f>
        <v>0.847826086956522</v>
      </c>
      <c r="Q9" s="7"/>
      <c r="R9" s="7"/>
      <c r="S9" s="7"/>
      <c r="T9" s="7"/>
      <c r="U9" s="7"/>
      <c r="V9" s="7"/>
    </row>
    <row r="10" customFormat="false" ht="15" hidden="false" customHeight="false" outlineLevel="0" collapsed="false">
      <c r="A10" s="7" t="n">
        <v>8</v>
      </c>
      <c r="B10" s="8" t="n">
        <v>46323</v>
      </c>
      <c r="C10" s="9" t="s">
        <v>37</v>
      </c>
      <c r="D10" s="9" t="s">
        <v>30</v>
      </c>
      <c r="E10" s="9" t="s">
        <v>38</v>
      </c>
      <c r="F10" s="9" t="s">
        <v>49</v>
      </c>
      <c r="G10" s="9" t="s">
        <v>50</v>
      </c>
      <c r="H10" s="9" t="s">
        <v>40</v>
      </c>
      <c r="I10" s="9" t="s">
        <v>35</v>
      </c>
      <c r="J10" s="9" t="s">
        <v>41</v>
      </c>
      <c r="K10" s="7" t="n">
        <v>44</v>
      </c>
      <c r="L10" s="7" t="n">
        <v>21</v>
      </c>
      <c r="M10" s="7" t="n">
        <v>19</v>
      </c>
      <c r="N10" s="7" t="n">
        <v>2</v>
      </c>
      <c r="O10" s="7" t="n">
        <v>23</v>
      </c>
      <c r="P10" s="10" t="n">
        <f aca="false">IF(K10=0,0,O10/K10)</f>
        <v>0.522727272727273</v>
      </c>
      <c r="Q10" s="7"/>
      <c r="R10" s="7"/>
      <c r="S10" s="7"/>
      <c r="T10" s="7"/>
      <c r="U10" s="7"/>
      <c r="V10" s="7"/>
    </row>
    <row r="11" customFormat="false" ht="15" hidden="false" customHeight="false" outlineLevel="0" collapsed="false">
      <c r="A11" s="7" t="n">
        <v>9</v>
      </c>
      <c r="B11" s="8" t="n">
        <v>46323</v>
      </c>
      <c r="C11" s="9" t="s">
        <v>37</v>
      </c>
      <c r="D11" s="9" t="s">
        <v>30</v>
      </c>
      <c r="E11" s="9" t="s">
        <v>42</v>
      </c>
      <c r="F11" s="9" t="s">
        <v>47</v>
      </c>
      <c r="G11" s="9" t="s">
        <v>47</v>
      </c>
      <c r="H11" s="9" t="s">
        <v>34</v>
      </c>
      <c r="I11" s="9" t="s">
        <v>35</v>
      </c>
      <c r="J11" s="9" t="s">
        <v>41</v>
      </c>
      <c r="K11" s="7" t="n">
        <v>78</v>
      </c>
      <c r="L11" s="7" t="n">
        <v>11</v>
      </c>
      <c r="M11" s="7" t="n">
        <v>10</v>
      </c>
      <c r="N11" s="7" t="n">
        <v>1</v>
      </c>
      <c r="O11" s="7" t="n">
        <v>67</v>
      </c>
      <c r="P11" s="10" t="n">
        <f aca="false">IF(K11=0,0,O11/K11)</f>
        <v>0.858974358974359</v>
      </c>
      <c r="Q11" s="7"/>
      <c r="R11" s="7"/>
      <c r="S11" s="7"/>
      <c r="T11" s="7"/>
      <c r="U11" s="7"/>
      <c r="V11" s="7"/>
    </row>
    <row r="12" customFormat="false" ht="15" hidden="false" customHeight="false" outlineLevel="0" collapsed="false">
      <c r="A12" s="7" t="n">
        <v>10</v>
      </c>
      <c r="B12" s="8" t="n">
        <v>46325</v>
      </c>
      <c r="C12" s="9" t="s">
        <v>29</v>
      </c>
      <c r="D12" s="9" t="s">
        <v>30</v>
      </c>
      <c r="E12" s="9" t="s">
        <v>38</v>
      </c>
      <c r="F12" s="9" t="s">
        <v>49</v>
      </c>
      <c r="G12" s="9" t="s">
        <v>49</v>
      </c>
      <c r="H12" s="9" t="s">
        <v>40</v>
      </c>
      <c r="I12" s="9" t="s">
        <v>35</v>
      </c>
      <c r="J12" s="9" t="s">
        <v>36</v>
      </c>
      <c r="K12" s="7" t="n">
        <v>80</v>
      </c>
      <c r="L12" s="7" t="n">
        <v>34</v>
      </c>
      <c r="M12" s="7" t="n">
        <v>32</v>
      </c>
      <c r="N12" s="7" t="n">
        <v>2</v>
      </c>
      <c r="O12" s="7" t="n">
        <v>46</v>
      </c>
      <c r="P12" s="10" t="n">
        <f aca="false">IF(K12=0,0,O12/K12)</f>
        <v>0.575</v>
      </c>
      <c r="Q12" s="7" t="n">
        <v>2</v>
      </c>
      <c r="R12" s="7" t="n">
        <v>19</v>
      </c>
      <c r="S12" s="7" t="n">
        <v>0</v>
      </c>
      <c r="T12" s="7" t="n">
        <v>0</v>
      </c>
      <c r="U12" s="7" t="n">
        <v>1</v>
      </c>
      <c r="V12" s="7" t="n">
        <v>2</v>
      </c>
    </row>
    <row r="13" customFormat="false" ht="15" hidden="false" customHeight="false" outlineLevel="0" collapsed="false">
      <c r="A13" s="7" t="n">
        <v>11</v>
      </c>
      <c r="B13" s="8" t="n">
        <v>46325</v>
      </c>
      <c r="C13" s="9" t="s">
        <v>29</v>
      </c>
      <c r="D13" s="9" t="s">
        <v>30</v>
      </c>
      <c r="E13" s="9" t="s">
        <v>42</v>
      </c>
      <c r="F13" s="9" t="s">
        <v>51</v>
      </c>
      <c r="G13" s="9" t="s">
        <v>52</v>
      </c>
      <c r="H13" s="9" t="s">
        <v>34</v>
      </c>
      <c r="I13" s="9" t="s">
        <v>35</v>
      </c>
      <c r="J13" s="9" t="s">
        <v>41</v>
      </c>
      <c r="K13" s="7" t="n">
        <v>42</v>
      </c>
      <c r="L13" s="7" t="n">
        <v>4</v>
      </c>
      <c r="M13" s="7" t="n">
        <v>3</v>
      </c>
      <c r="N13" s="7" t="n">
        <v>1</v>
      </c>
      <c r="O13" s="7" t="n">
        <v>38</v>
      </c>
      <c r="P13" s="10" t="n">
        <f aca="false">IF(K13=0,0,O13/K13)</f>
        <v>0.904761904761905</v>
      </c>
      <c r="Q13" s="7"/>
      <c r="R13" s="7"/>
      <c r="S13" s="7"/>
      <c r="T13" s="7"/>
      <c r="U13" s="7"/>
      <c r="V13" s="7"/>
    </row>
    <row r="14" customFormat="false" ht="15" hidden="false" customHeight="false" outlineLevel="0" collapsed="false">
      <c r="A14" s="7" t="n">
        <v>12</v>
      </c>
      <c r="B14" s="8" t="n">
        <v>46330</v>
      </c>
      <c r="C14" s="9" t="s">
        <v>37</v>
      </c>
      <c r="D14" s="9" t="s">
        <v>30</v>
      </c>
      <c r="E14" s="9" t="s">
        <v>38</v>
      </c>
      <c r="F14" s="9" t="s">
        <v>49</v>
      </c>
      <c r="G14" s="9" t="s">
        <v>53</v>
      </c>
      <c r="H14" s="9" t="s">
        <v>40</v>
      </c>
      <c r="I14" s="9" t="s">
        <v>35</v>
      </c>
      <c r="J14" s="9" t="s">
        <v>41</v>
      </c>
      <c r="K14" s="7" t="n">
        <v>39</v>
      </c>
      <c r="L14" s="7" t="n">
        <v>9</v>
      </c>
      <c r="M14" s="7" t="n">
        <v>8</v>
      </c>
      <c r="N14" s="7" t="n">
        <v>1</v>
      </c>
      <c r="O14" s="7" t="n">
        <v>30</v>
      </c>
      <c r="P14" s="10" t="n">
        <f aca="false">IF(K14=0,0,O14/K14)</f>
        <v>0.769230769230769</v>
      </c>
      <c r="Q14" s="7"/>
      <c r="R14" s="7"/>
      <c r="S14" s="7"/>
      <c r="T14" s="7"/>
      <c r="U14" s="7"/>
      <c r="V14" s="7"/>
    </row>
    <row r="15" customFormat="false" ht="15" hidden="false" customHeight="false" outlineLevel="0" collapsed="false">
      <c r="A15" s="7" t="n">
        <v>13</v>
      </c>
      <c r="B15" s="8" t="n">
        <v>46330</v>
      </c>
      <c r="C15" s="9" t="s">
        <v>37</v>
      </c>
      <c r="D15" s="9" t="s">
        <v>30</v>
      </c>
      <c r="E15" s="9" t="s">
        <v>42</v>
      </c>
      <c r="F15" s="9" t="s">
        <v>54</v>
      </c>
      <c r="G15" s="9" t="s">
        <v>55</v>
      </c>
      <c r="H15" s="9" t="s">
        <v>56</v>
      </c>
      <c r="I15" s="9" t="s">
        <v>35</v>
      </c>
      <c r="J15" s="9" t="s">
        <v>41</v>
      </c>
      <c r="K15" s="7" t="n">
        <v>21</v>
      </c>
      <c r="L15" s="7" t="n">
        <v>1</v>
      </c>
      <c r="M15" s="7" t="n">
        <v>1</v>
      </c>
      <c r="N15" s="7" t="n">
        <v>0</v>
      </c>
      <c r="O15" s="7" t="n">
        <v>20</v>
      </c>
      <c r="P15" s="10" t="n">
        <f aca="false">IF(K15=0,0,O15/K15)</f>
        <v>0.952380952380952</v>
      </c>
      <c r="Q15" s="7"/>
      <c r="R15" s="7"/>
      <c r="S15" s="7"/>
      <c r="T15" s="7"/>
      <c r="U15" s="7"/>
      <c r="V15" s="7"/>
    </row>
    <row r="16" customFormat="false" ht="15" hidden="false" customHeight="false" outlineLevel="0" collapsed="false">
      <c r="A16" s="7" t="n">
        <v>14</v>
      </c>
      <c r="B16" s="8" t="n">
        <v>46339</v>
      </c>
      <c r="C16" s="9" t="s">
        <v>29</v>
      </c>
      <c r="D16" s="9" t="s">
        <v>30</v>
      </c>
      <c r="E16" s="9" t="s">
        <v>38</v>
      </c>
      <c r="F16" s="9" t="s">
        <v>57</v>
      </c>
      <c r="G16" s="9" t="s">
        <v>58</v>
      </c>
      <c r="H16" s="9" t="s">
        <v>40</v>
      </c>
      <c r="I16" s="9" t="s">
        <v>35</v>
      </c>
      <c r="J16" s="9" t="s">
        <v>41</v>
      </c>
      <c r="K16" s="7" t="n">
        <v>100</v>
      </c>
      <c r="L16" s="7" t="n">
        <v>49</v>
      </c>
      <c r="M16" s="7" t="n">
        <v>41</v>
      </c>
      <c r="N16" s="7" t="n">
        <v>8</v>
      </c>
      <c r="O16" s="7" t="n">
        <v>51</v>
      </c>
      <c r="P16" s="10" t="n">
        <f aca="false">IF(K16=0,0,O16/K16)</f>
        <v>0.51</v>
      </c>
      <c r="Q16" s="7"/>
      <c r="R16" s="7"/>
      <c r="S16" s="7"/>
      <c r="T16" s="7"/>
      <c r="U16" s="7"/>
      <c r="V16" s="7"/>
    </row>
    <row r="17" customFormat="false" ht="15" hidden="false" customHeight="false" outlineLevel="0" collapsed="false">
      <c r="A17" s="7" t="n">
        <v>15</v>
      </c>
      <c r="B17" s="8" t="n">
        <v>46339</v>
      </c>
      <c r="C17" s="9" t="s">
        <v>29</v>
      </c>
      <c r="D17" s="9" t="s">
        <v>30</v>
      </c>
      <c r="E17" s="9" t="s">
        <v>42</v>
      </c>
      <c r="F17" s="9" t="s">
        <v>59</v>
      </c>
      <c r="G17" s="9" t="s">
        <v>59</v>
      </c>
      <c r="H17" s="9" t="s">
        <v>34</v>
      </c>
      <c r="I17" s="9" t="s">
        <v>35</v>
      </c>
      <c r="J17" s="9" t="s">
        <v>36</v>
      </c>
      <c r="K17" s="7" t="n">
        <v>179</v>
      </c>
      <c r="L17" s="7" t="n">
        <v>45</v>
      </c>
      <c r="M17" s="7" t="n">
        <v>23</v>
      </c>
      <c r="N17" s="7" t="n">
        <v>22</v>
      </c>
      <c r="O17" s="7" t="n">
        <v>134</v>
      </c>
      <c r="P17" s="10" t="n">
        <f aca="false">IF(K17=0,0,O17/K17)</f>
        <v>0.748603351955307</v>
      </c>
      <c r="Q17" s="7" t="n">
        <v>1</v>
      </c>
      <c r="R17" s="7" t="n">
        <v>30</v>
      </c>
      <c r="S17" s="7" t="n">
        <v>0</v>
      </c>
      <c r="T17" s="7" t="n">
        <v>8</v>
      </c>
      <c r="U17" s="7" t="n">
        <v>7</v>
      </c>
      <c r="V17" s="7" t="n">
        <v>0</v>
      </c>
    </row>
    <row r="18" customFormat="false" ht="15" hidden="false" customHeight="false" outlineLevel="0" collapsed="false">
      <c r="A18" s="7" t="n">
        <v>16</v>
      </c>
      <c r="B18" s="8" t="n">
        <v>46344</v>
      </c>
      <c r="C18" s="9" t="s">
        <v>37</v>
      </c>
      <c r="D18" s="9" t="s">
        <v>30</v>
      </c>
      <c r="E18" s="9" t="s">
        <v>38</v>
      </c>
      <c r="F18" s="9" t="s">
        <v>57</v>
      </c>
      <c r="G18" s="9" t="s">
        <v>60</v>
      </c>
      <c r="H18" s="9" t="s">
        <v>40</v>
      </c>
      <c r="I18" s="9" t="s">
        <v>35</v>
      </c>
      <c r="J18" s="9" t="s">
        <v>41</v>
      </c>
      <c r="K18" s="7" t="n">
        <v>37</v>
      </c>
      <c r="L18" s="7" t="n">
        <v>6</v>
      </c>
      <c r="M18" s="7" t="n">
        <v>5</v>
      </c>
      <c r="N18" s="7" t="n">
        <v>1</v>
      </c>
      <c r="O18" s="7" t="n">
        <v>31</v>
      </c>
      <c r="P18" s="10" t="n">
        <f aca="false">IF(K18=0,0,O18/K18)</f>
        <v>0.837837837837838</v>
      </c>
      <c r="Q18" s="7"/>
      <c r="R18" s="7"/>
      <c r="S18" s="7"/>
      <c r="T18" s="7"/>
      <c r="U18" s="7"/>
      <c r="V18" s="7"/>
    </row>
    <row r="19" customFormat="false" ht="15" hidden="false" customHeight="false" outlineLevel="0" collapsed="false">
      <c r="A19" s="7" t="n">
        <v>17</v>
      </c>
      <c r="B19" s="8" t="n">
        <v>46344</v>
      </c>
      <c r="C19" s="9" t="s">
        <v>37</v>
      </c>
      <c r="D19" s="9" t="s">
        <v>30</v>
      </c>
      <c r="E19" s="9" t="s">
        <v>42</v>
      </c>
      <c r="F19" s="9" t="s">
        <v>61</v>
      </c>
      <c r="G19" s="9" t="s">
        <v>62</v>
      </c>
      <c r="H19" s="9" t="s">
        <v>34</v>
      </c>
      <c r="I19" s="9" t="s">
        <v>35</v>
      </c>
      <c r="J19" s="9" t="s">
        <v>36</v>
      </c>
      <c r="K19" s="7" t="n">
        <v>33</v>
      </c>
      <c r="L19" s="7" t="n">
        <v>8</v>
      </c>
      <c r="M19" s="7" t="n">
        <v>5</v>
      </c>
      <c r="N19" s="7" t="n">
        <v>3</v>
      </c>
      <c r="O19" s="7" t="n">
        <v>25</v>
      </c>
      <c r="P19" s="10" t="n">
        <f aca="false">IF(K19=0,0,O19/K19)</f>
        <v>0.757575757575758</v>
      </c>
      <c r="Q19" s="7" t="n">
        <v>1</v>
      </c>
      <c r="R19" s="7" t="n">
        <v>27</v>
      </c>
      <c r="S19" s="7" t="n">
        <v>0</v>
      </c>
      <c r="T19" s="7" t="n">
        <v>0</v>
      </c>
      <c r="U19" s="7" t="n">
        <v>0</v>
      </c>
      <c r="V19" s="7" t="n">
        <v>0</v>
      </c>
    </row>
    <row r="20" customFormat="false" ht="15" hidden="false" customHeight="false" outlineLevel="0" collapsed="false">
      <c r="A20" s="7" t="n">
        <v>18</v>
      </c>
      <c r="B20" s="8" t="n">
        <v>46346</v>
      </c>
      <c r="C20" s="9" t="s">
        <v>29</v>
      </c>
      <c r="D20" s="9" t="s">
        <v>30</v>
      </c>
      <c r="E20" s="9" t="s">
        <v>38</v>
      </c>
      <c r="F20" s="9" t="s">
        <v>63</v>
      </c>
      <c r="G20" s="9" t="s">
        <v>63</v>
      </c>
      <c r="H20" s="9" t="s">
        <v>40</v>
      </c>
      <c r="I20" s="9" t="s">
        <v>35</v>
      </c>
      <c r="J20" s="9" t="s">
        <v>41</v>
      </c>
      <c r="K20" s="7" t="n">
        <v>70</v>
      </c>
      <c r="L20" s="7" t="n">
        <v>29</v>
      </c>
      <c r="M20" s="7" t="n">
        <v>24</v>
      </c>
      <c r="N20" s="7" t="n">
        <v>5</v>
      </c>
      <c r="O20" s="7" t="n">
        <v>41</v>
      </c>
      <c r="P20" s="10" t="n">
        <f aca="false">IF(K20=0,0,O20/K20)</f>
        <v>0.585714285714286</v>
      </c>
      <c r="Q20" s="7"/>
      <c r="R20" s="7"/>
      <c r="S20" s="7"/>
      <c r="T20" s="7"/>
      <c r="U20" s="7"/>
      <c r="V20" s="7"/>
    </row>
    <row r="21" customFormat="false" ht="15" hidden="false" customHeight="false" outlineLevel="0" collapsed="false">
      <c r="A21" s="7" t="n">
        <v>19</v>
      </c>
      <c r="B21" s="8" t="n">
        <v>46346</v>
      </c>
      <c r="C21" s="9" t="s">
        <v>29</v>
      </c>
      <c r="D21" s="9" t="s">
        <v>30</v>
      </c>
      <c r="E21" s="9" t="s">
        <v>42</v>
      </c>
      <c r="F21" s="9" t="s">
        <v>61</v>
      </c>
      <c r="G21" s="9" t="s">
        <v>64</v>
      </c>
      <c r="H21" s="9" t="s">
        <v>34</v>
      </c>
      <c r="I21" s="9" t="s">
        <v>35</v>
      </c>
      <c r="J21" s="9" t="s">
        <v>41</v>
      </c>
      <c r="K21" s="7" t="n">
        <v>35</v>
      </c>
      <c r="L21" s="7" t="n">
        <v>4</v>
      </c>
      <c r="M21" s="7" t="n">
        <v>4</v>
      </c>
      <c r="N21" s="7" t="n">
        <v>0</v>
      </c>
      <c r="O21" s="7" t="n">
        <v>31</v>
      </c>
      <c r="P21" s="10" t="n">
        <f aca="false">IF(K21=0,0,O21/K21)</f>
        <v>0.885714285714286</v>
      </c>
      <c r="Q21" s="7"/>
      <c r="R21" s="7"/>
      <c r="S21" s="7"/>
      <c r="T21" s="7"/>
      <c r="U21" s="7"/>
      <c r="V21" s="7"/>
    </row>
    <row r="22" customFormat="false" ht="15" hidden="false" customHeight="false" outlineLevel="0" collapsed="false">
      <c r="A22" s="7" t="n">
        <v>20</v>
      </c>
      <c r="B22" s="8" t="n">
        <v>46351</v>
      </c>
      <c r="C22" s="9" t="s">
        <v>37</v>
      </c>
      <c r="D22" s="9" t="s">
        <v>30</v>
      </c>
      <c r="E22" s="9" t="s">
        <v>38</v>
      </c>
      <c r="F22" s="9" t="s">
        <v>65</v>
      </c>
      <c r="G22" s="9" t="s">
        <v>66</v>
      </c>
      <c r="H22" s="9" t="s">
        <v>56</v>
      </c>
      <c r="I22" s="9" t="s">
        <v>67</v>
      </c>
      <c r="J22" s="9" t="s">
        <v>41</v>
      </c>
      <c r="K22" s="7" t="n">
        <v>194</v>
      </c>
      <c r="L22" s="7" t="n">
        <v>90</v>
      </c>
      <c r="M22" s="7" t="n">
        <v>60</v>
      </c>
      <c r="N22" s="7" t="n">
        <v>30</v>
      </c>
      <c r="O22" s="7" t="n">
        <v>104</v>
      </c>
      <c r="P22" s="10" t="n">
        <f aca="false">IF(K22=0,0,O22/K22)</f>
        <v>0.536082474226804</v>
      </c>
      <c r="Q22" s="7"/>
      <c r="R22" s="7"/>
      <c r="S22" s="7"/>
      <c r="T22" s="7"/>
      <c r="U22" s="7"/>
      <c r="V22" s="7"/>
    </row>
    <row r="23" customFormat="false" ht="15" hidden="false" customHeight="false" outlineLevel="0" collapsed="false">
      <c r="A23" s="7" t="n">
        <v>21</v>
      </c>
      <c r="B23" s="8" t="n">
        <v>46351</v>
      </c>
      <c r="C23" s="9" t="s">
        <v>37</v>
      </c>
      <c r="D23" s="9" t="s">
        <v>30</v>
      </c>
      <c r="E23" s="9" t="s">
        <v>42</v>
      </c>
      <c r="F23" s="9" t="s">
        <v>68</v>
      </c>
      <c r="G23" s="9" t="s">
        <v>69</v>
      </c>
      <c r="H23" s="9" t="s">
        <v>34</v>
      </c>
      <c r="I23" s="9" t="s">
        <v>35</v>
      </c>
      <c r="J23" s="9" t="s">
        <v>41</v>
      </c>
      <c r="K23" s="7" t="n">
        <v>62</v>
      </c>
      <c r="L23" s="7" t="n">
        <v>9</v>
      </c>
      <c r="M23" s="7" t="n">
        <v>9</v>
      </c>
      <c r="N23" s="7" t="n">
        <v>0</v>
      </c>
      <c r="O23" s="7" t="n">
        <v>53</v>
      </c>
      <c r="P23" s="10" t="n">
        <f aca="false">IF(K23=0,0,O23/K23)</f>
        <v>0.854838709677419</v>
      </c>
      <c r="Q23" s="7"/>
      <c r="R23" s="7"/>
      <c r="S23" s="7"/>
      <c r="T23" s="7"/>
      <c r="U23" s="7"/>
      <c r="V23" s="7"/>
    </row>
    <row r="24" customFormat="false" ht="15" hidden="false" customHeight="false" outlineLevel="0" collapsed="false">
      <c r="A24" s="7" t="n">
        <v>22</v>
      </c>
      <c r="B24" s="8" t="n">
        <v>46353</v>
      </c>
      <c r="C24" s="9" t="s">
        <v>29</v>
      </c>
      <c r="D24" s="9" t="s">
        <v>30</v>
      </c>
      <c r="E24" s="9" t="s">
        <v>38</v>
      </c>
      <c r="F24" s="9" t="s">
        <v>70</v>
      </c>
      <c r="G24" s="9" t="s">
        <v>70</v>
      </c>
      <c r="H24" s="9" t="s">
        <v>71</v>
      </c>
      <c r="I24" s="9" t="s">
        <v>35</v>
      </c>
      <c r="J24" s="9" t="s">
        <v>36</v>
      </c>
      <c r="K24" s="7" t="n">
        <v>71</v>
      </c>
      <c r="L24" s="7" t="n">
        <v>34</v>
      </c>
      <c r="M24" s="7" t="n">
        <v>31</v>
      </c>
      <c r="N24" s="7" t="n">
        <v>3</v>
      </c>
      <c r="O24" s="7" t="n">
        <v>37</v>
      </c>
      <c r="P24" s="10" t="n">
        <f aca="false">IF(K24=0,0,O24/K24)</f>
        <v>0.52112676056338</v>
      </c>
      <c r="Q24" s="7" t="n">
        <v>1</v>
      </c>
      <c r="R24" s="7" t="n">
        <v>41</v>
      </c>
      <c r="S24" s="7" t="n">
        <v>0</v>
      </c>
      <c r="T24" s="7" t="n">
        <v>8</v>
      </c>
      <c r="U24" s="7" t="n">
        <v>14</v>
      </c>
      <c r="V24" s="7" t="n">
        <v>0</v>
      </c>
    </row>
    <row r="25" customFormat="false" ht="15" hidden="false" customHeight="false" outlineLevel="0" collapsed="false">
      <c r="A25" s="7" t="n">
        <v>23</v>
      </c>
      <c r="B25" s="8" t="n">
        <v>46353</v>
      </c>
      <c r="C25" s="9" t="s">
        <v>29</v>
      </c>
      <c r="D25" s="9" t="s">
        <v>30</v>
      </c>
      <c r="E25" s="9" t="s">
        <v>42</v>
      </c>
      <c r="F25" s="9" t="s">
        <v>72</v>
      </c>
      <c r="G25" s="9" t="s">
        <v>73</v>
      </c>
      <c r="H25" s="9" t="s">
        <v>34</v>
      </c>
      <c r="I25" s="9" t="s">
        <v>35</v>
      </c>
      <c r="J25" s="9" t="s">
        <v>41</v>
      </c>
      <c r="K25" s="7" t="n">
        <v>36</v>
      </c>
      <c r="L25" s="7" t="n">
        <v>4</v>
      </c>
      <c r="M25" s="7" t="n">
        <v>2</v>
      </c>
      <c r="N25" s="7" t="n">
        <v>2</v>
      </c>
      <c r="O25" s="7" t="n">
        <v>32</v>
      </c>
      <c r="P25" s="10" t="n">
        <f aca="false">IF(K25=0,0,O25/K25)</f>
        <v>0.888888888888889</v>
      </c>
      <c r="Q25" s="7"/>
      <c r="R25" s="7"/>
      <c r="S25" s="7"/>
      <c r="T25" s="7"/>
      <c r="U25" s="7"/>
      <c r="V25" s="7"/>
    </row>
    <row r="27" customFormat="false" ht="15" hidden="false" customHeight="false" outlineLevel="0" collapsed="false">
      <c r="A27" s="13" t="s">
        <v>135</v>
      </c>
    </row>
  </sheetData>
  <autoFilter ref="A1:V2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11"/>
    <col collapsed="false" customWidth="true" hidden="false" outlineLevel="0" max="11" min="11" style="0" width="13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6" min="14" style="0" width="11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8"/>
    <col collapsed="false" customWidth="true" hidden="false" outlineLevel="0" max="20" min="20" style="0" width="13"/>
    <col collapsed="false" customWidth="true" hidden="false" outlineLevel="0" max="22" min="21" style="0" width="8"/>
  </cols>
  <sheetData>
    <row r="1" customFormat="false" ht="35.0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133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</row>
    <row r="2" customFormat="false" ht="15" hidden="false" customHeight="false" outlineLevel="0" collapsed="false">
      <c r="A2" s="2" t="s">
        <v>25</v>
      </c>
      <c r="B2" s="3"/>
      <c r="C2" s="3"/>
      <c r="D2" s="3"/>
      <c r="E2" s="3"/>
      <c r="F2" s="3"/>
      <c r="G2" s="3" t="s">
        <v>136</v>
      </c>
      <c r="H2" s="3"/>
      <c r="I2" s="3"/>
      <c r="J2" s="3"/>
      <c r="K2" s="4" t="n">
        <f aca="false">SUM(K3:K35)</f>
        <v>1645</v>
      </c>
      <c r="L2" s="4" t="n">
        <f aca="false">SUM(L3:L35)</f>
        <v>794</v>
      </c>
      <c r="M2" s="4" t="n">
        <f aca="false">SUM(M3:M35)</f>
        <v>484</v>
      </c>
      <c r="N2" s="4" t="n">
        <f aca="false">SUM(N3:N35)</f>
        <v>310</v>
      </c>
      <c r="O2" s="4" t="n">
        <f aca="false">SUM(O3:O35)</f>
        <v>851</v>
      </c>
      <c r="P2" s="5" t="n">
        <f aca="false">IF(K2=0,0,O2/K2)</f>
        <v>0.517325227963526</v>
      </c>
      <c r="Q2" s="4" t="n">
        <f aca="false">SUM(Q3:Q35)</f>
        <v>16</v>
      </c>
      <c r="R2" s="4" t="n">
        <f aca="false">SUM(R3:R35)</f>
        <v>298</v>
      </c>
      <c r="S2" s="4" t="n">
        <f aca="false">SUM(S3:S35)</f>
        <v>16</v>
      </c>
      <c r="T2" s="4" t="n">
        <f aca="false">SUM(T3:T35)</f>
        <v>5</v>
      </c>
      <c r="U2" s="4" t="n">
        <f aca="false">SUM(U3:U35)</f>
        <v>25</v>
      </c>
      <c r="V2" s="4" t="n">
        <f aca="false">SUM(V3:V35)</f>
        <v>20</v>
      </c>
    </row>
    <row r="3" customFormat="false" ht="15" hidden="false" customHeight="false" outlineLevel="0" collapsed="false">
      <c r="A3" s="7" t="n">
        <v>1</v>
      </c>
      <c r="B3" s="8" t="n">
        <v>46393</v>
      </c>
      <c r="C3" s="9" t="s">
        <v>37</v>
      </c>
      <c r="D3" s="9" t="s">
        <v>30</v>
      </c>
      <c r="E3" s="9" t="s">
        <v>38</v>
      </c>
      <c r="F3" s="9" t="s">
        <v>68</v>
      </c>
      <c r="G3" s="9" t="s">
        <v>75</v>
      </c>
      <c r="H3" s="9" t="s">
        <v>34</v>
      </c>
      <c r="I3" s="9" t="s">
        <v>35</v>
      </c>
      <c r="J3" s="9" t="s">
        <v>36</v>
      </c>
      <c r="K3" s="7" t="n">
        <v>58</v>
      </c>
      <c r="L3" s="7" t="n">
        <v>9</v>
      </c>
      <c r="M3" s="7" t="n">
        <v>9</v>
      </c>
      <c r="N3" s="7" t="n">
        <v>0</v>
      </c>
      <c r="O3" s="7" t="n">
        <v>49</v>
      </c>
      <c r="P3" s="10" t="n">
        <f aca="false">IF(K3=0,0,O3/K3)</f>
        <v>0.844827586206897</v>
      </c>
      <c r="Q3" s="7" t="n">
        <v>1</v>
      </c>
      <c r="R3" s="7" t="n">
        <v>22</v>
      </c>
      <c r="S3" s="7" t="n">
        <v>2</v>
      </c>
      <c r="T3" s="7" t="n">
        <v>1</v>
      </c>
      <c r="U3" s="7" t="n">
        <v>3</v>
      </c>
      <c r="V3" s="7" t="n">
        <v>2</v>
      </c>
    </row>
    <row r="4" customFormat="false" ht="15" hidden="false" customHeight="false" outlineLevel="0" collapsed="false">
      <c r="A4" s="7" t="n">
        <v>2</v>
      </c>
      <c r="B4" s="8" t="n">
        <v>46393</v>
      </c>
      <c r="C4" s="9" t="s">
        <v>37</v>
      </c>
      <c r="D4" s="9" t="s">
        <v>30</v>
      </c>
      <c r="E4" s="9" t="s">
        <v>42</v>
      </c>
      <c r="F4" s="9" t="s">
        <v>57</v>
      </c>
      <c r="G4" s="9" t="s">
        <v>57</v>
      </c>
      <c r="H4" s="9" t="s">
        <v>40</v>
      </c>
      <c r="I4" s="9" t="s">
        <v>35</v>
      </c>
      <c r="J4" s="9" t="s">
        <v>36</v>
      </c>
      <c r="K4" s="7" t="n">
        <v>129</v>
      </c>
      <c r="L4" s="7" t="n">
        <v>67</v>
      </c>
      <c r="M4" s="7" t="n">
        <v>40</v>
      </c>
      <c r="N4" s="7" t="n">
        <v>27</v>
      </c>
      <c r="O4" s="7" t="n">
        <v>62</v>
      </c>
      <c r="P4" s="10" t="n">
        <f aca="false">IF(K4=0,0,O4/K4)</f>
        <v>0.48062015503876</v>
      </c>
      <c r="Q4" s="7" t="n">
        <v>1</v>
      </c>
      <c r="R4" s="7" t="n">
        <v>30</v>
      </c>
      <c r="S4" s="7" t="n">
        <v>0</v>
      </c>
      <c r="T4" s="7" t="n">
        <v>0</v>
      </c>
      <c r="U4" s="7" t="n">
        <v>0</v>
      </c>
      <c r="V4" s="7" t="n">
        <v>0</v>
      </c>
    </row>
    <row r="5" customFormat="false" ht="15" hidden="false" customHeight="false" outlineLevel="0" collapsed="false">
      <c r="A5" s="7" t="n">
        <v>3</v>
      </c>
      <c r="B5" s="8" t="n">
        <v>46395</v>
      </c>
      <c r="C5" s="9" t="s">
        <v>29</v>
      </c>
      <c r="D5" s="9" t="s">
        <v>30</v>
      </c>
      <c r="E5" s="9" t="s">
        <v>38</v>
      </c>
      <c r="F5" s="9" t="s">
        <v>33</v>
      </c>
      <c r="G5" s="9" t="s">
        <v>76</v>
      </c>
      <c r="H5" s="9" t="s">
        <v>34</v>
      </c>
      <c r="I5" s="9" t="s">
        <v>35</v>
      </c>
      <c r="J5" s="9" t="s">
        <v>36</v>
      </c>
      <c r="K5" s="7" t="n">
        <v>32</v>
      </c>
      <c r="L5" s="7" t="n">
        <v>5</v>
      </c>
      <c r="M5" s="7" t="n">
        <v>5</v>
      </c>
      <c r="N5" s="7" t="n">
        <v>0</v>
      </c>
      <c r="O5" s="7" t="n">
        <v>27</v>
      </c>
      <c r="P5" s="10" t="n">
        <f aca="false">IF(K5=0,0,O5/K5)</f>
        <v>0.84375</v>
      </c>
      <c r="Q5" s="7" t="n">
        <v>1</v>
      </c>
      <c r="R5" s="7" t="n">
        <v>29</v>
      </c>
      <c r="S5" s="7" t="n">
        <v>3</v>
      </c>
      <c r="T5" s="7" t="n">
        <v>0</v>
      </c>
      <c r="U5" s="7" t="n">
        <v>3</v>
      </c>
      <c r="V5" s="7" t="n">
        <v>1</v>
      </c>
    </row>
    <row r="6" customFormat="false" ht="15" hidden="false" customHeight="false" outlineLevel="0" collapsed="false">
      <c r="A6" s="7" t="n">
        <v>4</v>
      </c>
      <c r="B6" s="8" t="n">
        <v>46395</v>
      </c>
      <c r="C6" s="9" t="s">
        <v>29</v>
      </c>
      <c r="D6" s="9" t="s">
        <v>30</v>
      </c>
      <c r="E6" s="9" t="s">
        <v>42</v>
      </c>
      <c r="F6" s="9" t="s">
        <v>77</v>
      </c>
      <c r="G6" s="9" t="s">
        <v>77</v>
      </c>
      <c r="H6" s="9" t="s">
        <v>40</v>
      </c>
      <c r="I6" s="9" t="s">
        <v>67</v>
      </c>
      <c r="J6" s="9" t="s">
        <v>36</v>
      </c>
      <c r="K6" s="7" t="n">
        <v>89</v>
      </c>
      <c r="L6" s="7" t="n">
        <v>56</v>
      </c>
      <c r="M6" s="7" t="n">
        <v>45</v>
      </c>
      <c r="N6" s="7" t="n">
        <v>11</v>
      </c>
      <c r="O6" s="7" t="n">
        <v>33</v>
      </c>
      <c r="P6" s="10" t="n">
        <f aca="false">IF(K6=0,0,O6/K6)</f>
        <v>0.370786516853933</v>
      </c>
      <c r="Q6" s="7" t="n">
        <v>2</v>
      </c>
      <c r="R6" s="7" t="n">
        <v>14</v>
      </c>
      <c r="S6" s="7" t="n">
        <v>3</v>
      </c>
      <c r="T6" s="7" t="n">
        <v>0</v>
      </c>
      <c r="U6" s="7" t="n">
        <v>2</v>
      </c>
      <c r="V6" s="7" t="n">
        <v>3</v>
      </c>
    </row>
    <row r="7" customFormat="false" ht="15" hidden="false" customHeight="false" outlineLevel="0" collapsed="false">
      <c r="A7" s="7" t="n">
        <v>5</v>
      </c>
      <c r="B7" s="8" t="n">
        <v>46400</v>
      </c>
      <c r="C7" s="9" t="s">
        <v>37</v>
      </c>
      <c r="D7" s="9" t="s">
        <v>30</v>
      </c>
      <c r="E7" s="9" t="s">
        <v>38</v>
      </c>
      <c r="F7" s="9" t="s">
        <v>51</v>
      </c>
      <c r="G7" s="9" t="s">
        <v>78</v>
      </c>
      <c r="H7" s="9" t="s">
        <v>34</v>
      </c>
      <c r="I7" s="9" t="s">
        <v>35</v>
      </c>
      <c r="J7" s="9" t="s">
        <v>36</v>
      </c>
      <c r="K7" s="7" t="n">
        <v>30</v>
      </c>
      <c r="L7" s="7" t="n">
        <v>3</v>
      </c>
      <c r="M7" s="7" t="n">
        <v>3</v>
      </c>
      <c r="N7" s="7" t="n">
        <v>0</v>
      </c>
      <c r="O7" s="7" t="n">
        <v>27</v>
      </c>
      <c r="P7" s="10" t="n">
        <f aca="false">IF(K7=0,0,O7/K7)</f>
        <v>0.9</v>
      </c>
      <c r="Q7" s="7" t="n">
        <v>1</v>
      </c>
      <c r="R7" s="7" t="n">
        <v>32</v>
      </c>
      <c r="S7" s="7" t="n">
        <v>4</v>
      </c>
      <c r="T7" s="7" t="n">
        <v>2</v>
      </c>
      <c r="U7" s="7" t="n">
        <v>1</v>
      </c>
      <c r="V7" s="7" t="n">
        <v>3</v>
      </c>
    </row>
    <row r="8" customFormat="false" ht="15" hidden="false" customHeight="false" outlineLevel="0" collapsed="false">
      <c r="A8" s="7" t="n">
        <v>6</v>
      </c>
      <c r="B8" s="8" t="n">
        <v>46400</v>
      </c>
      <c r="C8" s="9" t="s">
        <v>37</v>
      </c>
      <c r="D8" s="9" t="s">
        <v>30</v>
      </c>
      <c r="E8" s="9" t="s">
        <v>42</v>
      </c>
      <c r="F8" s="9" t="s">
        <v>77</v>
      </c>
      <c r="G8" s="9" t="s">
        <v>79</v>
      </c>
      <c r="H8" s="9" t="s">
        <v>40</v>
      </c>
      <c r="I8" s="9" t="s">
        <v>35</v>
      </c>
      <c r="J8" s="9" t="s">
        <v>36</v>
      </c>
      <c r="K8" s="7" t="n">
        <v>70</v>
      </c>
      <c r="L8" s="7" t="n">
        <v>25</v>
      </c>
      <c r="M8" s="7" t="n">
        <v>21</v>
      </c>
      <c r="N8" s="7" t="n">
        <v>4</v>
      </c>
      <c r="O8" s="7" t="n">
        <v>45</v>
      </c>
      <c r="P8" s="10" t="n">
        <f aca="false">IF(K8=0,0,O8/K8)</f>
        <v>0.642857142857143</v>
      </c>
      <c r="Q8" s="7" t="n">
        <v>2</v>
      </c>
      <c r="R8" s="7" t="n">
        <v>42</v>
      </c>
      <c r="S8" s="7" t="n">
        <v>0</v>
      </c>
      <c r="T8" s="7" t="n">
        <v>0</v>
      </c>
      <c r="U8" s="7" t="n">
        <v>0</v>
      </c>
      <c r="V8" s="7" t="n">
        <v>0</v>
      </c>
    </row>
    <row r="9" customFormat="false" ht="15" hidden="false" customHeight="false" outlineLevel="0" collapsed="false">
      <c r="A9" s="7" t="n">
        <v>7</v>
      </c>
      <c r="B9" s="8" t="n">
        <v>46402</v>
      </c>
      <c r="C9" s="9" t="s">
        <v>29</v>
      </c>
      <c r="D9" s="9" t="s">
        <v>30</v>
      </c>
      <c r="E9" s="9" t="s">
        <v>38</v>
      </c>
      <c r="F9" s="9" t="s">
        <v>51</v>
      </c>
      <c r="G9" s="9" t="s">
        <v>51</v>
      </c>
      <c r="H9" s="9" t="s">
        <v>34</v>
      </c>
      <c r="I9" s="9" t="s">
        <v>35</v>
      </c>
      <c r="J9" s="9" t="s">
        <v>36</v>
      </c>
      <c r="K9" s="7" t="n">
        <v>30</v>
      </c>
      <c r="L9" s="7" t="n">
        <v>7</v>
      </c>
      <c r="M9" s="7" t="n">
        <v>6</v>
      </c>
      <c r="N9" s="7" t="n">
        <v>1</v>
      </c>
      <c r="O9" s="7" t="n">
        <v>23</v>
      </c>
      <c r="P9" s="10" t="n">
        <f aca="false">IF(K9=0,0,O9/K9)</f>
        <v>0.766666666666667</v>
      </c>
      <c r="Q9" s="7" t="n">
        <v>1</v>
      </c>
      <c r="R9" s="7" t="n">
        <v>32</v>
      </c>
      <c r="S9" s="7" t="n">
        <v>2</v>
      </c>
      <c r="T9" s="7" t="n">
        <v>1</v>
      </c>
      <c r="U9" s="7" t="n">
        <v>2</v>
      </c>
      <c r="V9" s="7" t="n">
        <v>1</v>
      </c>
    </row>
    <row r="10" customFormat="false" ht="15" hidden="false" customHeight="false" outlineLevel="0" collapsed="false">
      <c r="A10" s="7" t="n">
        <v>8</v>
      </c>
      <c r="B10" s="8" t="n">
        <v>46402</v>
      </c>
      <c r="C10" s="9" t="s">
        <v>29</v>
      </c>
      <c r="D10" s="9" t="s">
        <v>30</v>
      </c>
      <c r="E10" s="9" t="s">
        <v>42</v>
      </c>
      <c r="F10" s="9" t="s">
        <v>39</v>
      </c>
      <c r="G10" s="9" t="s">
        <v>80</v>
      </c>
      <c r="H10" s="9" t="s">
        <v>40</v>
      </c>
      <c r="I10" s="9" t="s">
        <v>35</v>
      </c>
      <c r="J10" s="9" t="s">
        <v>36</v>
      </c>
      <c r="K10" s="7" t="n">
        <v>27</v>
      </c>
      <c r="L10" s="7" t="n">
        <v>4</v>
      </c>
      <c r="M10" s="7" t="n">
        <v>3</v>
      </c>
      <c r="N10" s="7" t="n">
        <v>1</v>
      </c>
      <c r="O10" s="7" t="n">
        <v>23</v>
      </c>
      <c r="P10" s="10" t="n">
        <f aca="false">IF(K10=0,0,O10/K10)</f>
        <v>0.851851851851852</v>
      </c>
      <c r="Q10" s="7" t="n">
        <v>1</v>
      </c>
      <c r="R10" s="7" t="n">
        <v>25</v>
      </c>
      <c r="S10" s="7" t="n">
        <v>0</v>
      </c>
      <c r="T10" s="7" t="n">
        <v>0</v>
      </c>
      <c r="U10" s="7" t="n">
        <v>0</v>
      </c>
      <c r="V10" s="7" t="n">
        <v>0</v>
      </c>
    </row>
    <row r="11" customFormat="false" ht="15" hidden="false" customHeight="false" outlineLevel="0" collapsed="false">
      <c r="A11" s="7" t="n">
        <v>9</v>
      </c>
      <c r="B11" s="8" t="n">
        <v>46407</v>
      </c>
      <c r="C11" s="9" t="s">
        <v>37</v>
      </c>
      <c r="D11" s="9" t="s">
        <v>30</v>
      </c>
      <c r="E11" s="9" t="s">
        <v>38</v>
      </c>
      <c r="F11" s="9" t="s">
        <v>51</v>
      </c>
      <c r="G11" s="9" t="s">
        <v>81</v>
      </c>
      <c r="H11" s="9" t="s">
        <v>34</v>
      </c>
      <c r="I11" s="9" t="s">
        <v>35</v>
      </c>
      <c r="J11" s="9" t="s">
        <v>36</v>
      </c>
      <c r="K11" s="7" t="n">
        <v>37</v>
      </c>
      <c r="L11" s="7" t="n">
        <v>7</v>
      </c>
      <c r="M11" s="7" t="n">
        <v>7</v>
      </c>
      <c r="N11" s="7" t="n">
        <v>0</v>
      </c>
      <c r="O11" s="7" t="n">
        <v>30</v>
      </c>
      <c r="P11" s="10" t="n">
        <f aca="false">IF(K11=0,0,O11/K11)</f>
        <v>0.810810810810811</v>
      </c>
      <c r="Q11" s="7" t="n">
        <v>1</v>
      </c>
      <c r="R11" s="7" t="n">
        <v>35</v>
      </c>
      <c r="S11" s="7" t="n">
        <v>1</v>
      </c>
      <c r="T11" s="7" t="n">
        <v>1</v>
      </c>
      <c r="U11" s="7" t="n">
        <v>1</v>
      </c>
      <c r="V11" s="7" t="n">
        <v>6</v>
      </c>
    </row>
    <row r="12" customFormat="false" ht="15" hidden="false" customHeight="false" outlineLevel="0" collapsed="false">
      <c r="A12" s="7" t="n">
        <v>10</v>
      </c>
      <c r="B12" s="8" t="n">
        <v>46407</v>
      </c>
      <c r="C12" s="9" t="s">
        <v>37</v>
      </c>
      <c r="D12" s="9" t="s">
        <v>30</v>
      </c>
      <c r="E12" s="9" t="s">
        <v>42</v>
      </c>
      <c r="F12" s="9" t="s">
        <v>39</v>
      </c>
      <c r="G12" s="9" t="s">
        <v>82</v>
      </c>
      <c r="H12" s="9" t="s">
        <v>40</v>
      </c>
      <c r="I12" s="9" t="s">
        <v>35</v>
      </c>
      <c r="J12" s="9" t="s">
        <v>41</v>
      </c>
      <c r="K12" s="7" t="n">
        <v>32</v>
      </c>
      <c r="L12" s="7" t="n">
        <v>11</v>
      </c>
      <c r="M12" s="7" t="n">
        <v>10</v>
      </c>
      <c r="N12" s="7" t="n">
        <v>1</v>
      </c>
      <c r="O12" s="7" t="n">
        <v>21</v>
      </c>
      <c r="P12" s="10" t="n">
        <f aca="false">IF(K12=0,0,O12/K12)</f>
        <v>0.65625</v>
      </c>
      <c r="Q12" s="7"/>
      <c r="R12" s="7"/>
      <c r="S12" s="7"/>
      <c r="T12" s="7"/>
      <c r="U12" s="7"/>
      <c r="V12" s="7"/>
    </row>
    <row r="13" customFormat="false" ht="15" hidden="false" customHeight="false" outlineLevel="0" collapsed="false">
      <c r="A13" s="7" t="n">
        <v>11</v>
      </c>
      <c r="B13" s="8" t="n">
        <v>46409</v>
      </c>
      <c r="C13" s="9" t="s">
        <v>29</v>
      </c>
      <c r="D13" s="9" t="s">
        <v>30</v>
      </c>
      <c r="E13" s="9" t="s">
        <v>38</v>
      </c>
      <c r="F13" s="9" t="s">
        <v>51</v>
      </c>
      <c r="G13" s="9" t="s">
        <v>83</v>
      </c>
      <c r="H13" s="9" t="s">
        <v>34</v>
      </c>
      <c r="I13" s="9" t="s">
        <v>35</v>
      </c>
      <c r="J13" s="9" t="s">
        <v>41</v>
      </c>
      <c r="K13" s="7" t="n">
        <v>24</v>
      </c>
      <c r="L13" s="7" t="n">
        <v>3</v>
      </c>
      <c r="M13" s="7" t="n">
        <v>3</v>
      </c>
      <c r="N13" s="7" t="n">
        <v>0</v>
      </c>
      <c r="O13" s="7" t="n">
        <v>21</v>
      </c>
      <c r="P13" s="10" t="n">
        <f aca="false">IF(K13=0,0,O13/K13)</f>
        <v>0.875</v>
      </c>
      <c r="Q13" s="7"/>
      <c r="R13" s="7"/>
      <c r="S13" s="7"/>
      <c r="T13" s="7"/>
      <c r="U13" s="7"/>
      <c r="V13" s="7"/>
    </row>
    <row r="14" customFormat="false" ht="15" hidden="false" customHeight="false" outlineLevel="0" collapsed="false">
      <c r="A14" s="7" t="n">
        <v>12</v>
      </c>
      <c r="B14" s="8" t="n">
        <v>46409</v>
      </c>
      <c r="C14" s="9" t="s">
        <v>29</v>
      </c>
      <c r="D14" s="9" t="s">
        <v>30</v>
      </c>
      <c r="E14" s="9" t="s">
        <v>42</v>
      </c>
      <c r="F14" s="9" t="s">
        <v>44</v>
      </c>
      <c r="G14" s="9" t="s">
        <v>84</v>
      </c>
      <c r="H14" s="9" t="s">
        <v>40</v>
      </c>
      <c r="I14" s="9" t="s">
        <v>35</v>
      </c>
      <c r="J14" s="9" t="s">
        <v>41</v>
      </c>
      <c r="K14" s="7" t="n">
        <v>23</v>
      </c>
      <c r="L14" s="7" t="n">
        <v>5</v>
      </c>
      <c r="M14" s="7" t="n">
        <v>4</v>
      </c>
      <c r="N14" s="7" t="n">
        <v>1</v>
      </c>
      <c r="O14" s="7" t="n">
        <v>18</v>
      </c>
      <c r="P14" s="10" t="n">
        <f aca="false">IF(K14=0,0,O14/K14)</f>
        <v>0.782608695652174</v>
      </c>
      <c r="Q14" s="7"/>
      <c r="R14" s="7"/>
      <c r="S14" s="7"/>
      <c r="T14" s="7"/>
      <c r="U14" s="7"/>
      <c r="V14" s="7"/>
    </row>
    <row r="15" customFormat="false" ht="15" hidden="false" customHeight="false" outlineLevel="0" collapsed="false">
      <c r="A15" s="7" t="n">
        <v>13</v>
      </c>
      <c r="B15" s="8" t="n">
        <v>46414</v>
      </c>
      <c r="C15" s="9" t="s">
        <v>37</v>
      </c>
      <c r="D15" s="9" t="s">
        <v>30</v>
      </c>
      <c r="E15" s="9" t="s">
        <v>38</v>
      </c>
      <c r="F15" s="9" t="s">
        <v>85</v>
      </c>
      <c r="G15" s="9" t="s">
        <v>86</v>
      </c>
      <c r="H15" s="9" t="s">
        <v>34</v>
      </c>
      <c r="I15" s="9" t="s">
        <v>35</v>
      </c>
      <c r="J15" s="9" t="s">
        <v>36</v>
      </c>
      <c r="K15" s="7" t="n">
        <v>29</v>
      </c>
      <c r="L15" s="7" t="n">
        <v>4</v>
      </c>
      <c r="M15" s="7" t="n">
        <v>4</v>
      </c>
      <c r="N15" s="7" t="n">
        <v>0</v>
      </c>
      <c r="O15" s="7" t="n">
        <v>25</v>
      </c>
      <c r="P15" s="10" t="n">
        <f aca="false">IF(K15=0,0,O15/K15)</f>
        <v>0.862068965517241</v>
      </c>
      <c r="Q15" s="7" t="n">
        <v>1</v>
      </c>
      <c r="R15" s="7" t="n">
        <v>0</v>
      </c>
      <c r="S15" s="7" t="n">
        <v>1</v>
      </c>
      <c r="T15" s="7" t="n">
        <v>0</v>
      </c>
      <c r="U15" s="7" t="n">
        <v>0</v>
      </c>
      <c r="V15" s="7" t="n">
        <v>0</v>
      </c>
    </row>
    <row r="16" customFormat="false" ht="15" hidden="false" customHeight="false" outlineLevel="0" collapsed="false">
      <c r="A16" s="7" t="n">
        <v>14</v>
      </c>
      <c r="B16" s="8" t="n">
        <v>46414</v>
      </c>
      <c r="C16" s="9" t="s">
        <v>37</v>
      </c>
      <c r="D16" s="9" t="s">
        <v>30</v>
      </c>
      <c r="E16" s="9" t="s">
        <v>42</v>
      </c>
      <c r="F16" s="9" t="s">
        <v>44</v>
      </c>
      <c r="G16" s="9" t="s">
        <v>87</v>
      </c>
      <c r="H16" s="9" t="s">
        <v>40</v>
      </c>
      <c r="I16" s="9" t="s">
        <v>35</v>
      </c>
      <c r="J16" s="9" t="s">
        <v>41</v>
      </c>
      <c r="K16" s="7" t="n">
        <v>23</v>
      </c>
      <c r="L16" s="7" t="n">
        <v>7</v>
      </c>
      <c r="M16" s="7" t="n">
        <v>4</v>
      </c>
      <c r="N16" s="7" t="n">
        <v>3</v>
      </c>
      <c r="O16" s="7" t="n">
        <v>16</v>
      </c>
      <c r="P16" s="10" t="n">
        <f aca="false">IF(K16=0,0,O16/K16)</f>
        <v>0.695652173913044</v>
      </c>
      <c r="Q16" s="7"/>
      <c r="R16" s="7"/>
      <c r="S16" s="7"/>
      <c r="T16" s="7"/>
      <c r="U16" s="7"/>
      <c r="V16" s="7"/>
    </row>
    <row r="17" customFormat="false" ht="15" hidden="false" customHeight="false" outlineLevel="0" collapsed="false">
      <c r="A17" s="7" t="n">
        <v>15</v>
      </c>
      <c r="B17" s="8" t="n">
        <v>46416</v>
      </c>
      <c r="C17" s="9" t="s">
        <v>29</v>
      </c>
      <c r="D17" s="9" t="s">
        <v>30</v>
      </c>
      <c r="E17" s="9" t="s">
        <v>38</v>
      </c>
      <c r="F17" s="9" t="s">
        <v>68</v>
      </c>
      <c r="G17" s="9" t="s">
        <v>68</v>
      </c>
      <c r="H17" s="9" t="s">
        <v>34</v>
      </c>
      <c r="I17" s="9" t="s">
        <v>35</v>
      </c>
      <c r="J17" s="9" t="s">
        <v>36</v>
      </c>
      <c r="K17" s="7" t="n">
        <v>231</v>
      </c>
      <c r="L17" s="7" t="n">
        <v>90</v>
      </c>
      <c r="M17" s="7" t="n">
        <v>57</v>
      </c>
      <c r="N17" s="7" t="n">
        <v>33</v>
      </c>
      <c r="O17" s="7" t="n">
        <v>141</v>
      </c>
      <c r="P17" s="10" t="n">
        <f aca="false">IF(K17=0,0,O17/K17)</f>
        <v>0.61038961038961</v>
      </c>
      <c r="Q17" s="7" t="n">
        <v>1</v>
      </c>
      <c r="R17" s="7" t="n">
        <v>6</v>
      </c>
      <c r="S17" s="7" t="n">
        <v>0</v>
      </c>
      <c r="T17" s="7" t="n">
        <v>0</v>
      </c>
      <c r="U17" s="7" t="n">
        <v>2</v>
      </c>
      <c r="V17" s="7" t="n">
        <v>0</v>
      </c>
    </row>
    <row r="18" customFormat="false" ht="15" hidden="false" customHeight="false" outlineLevel="0" collapsed="false">
      <c r="A18" s="7" t="n">
        <v>16</v>
      </c>
      <c r="B18" s="8" t="n">
        <v>46416</v>
      </c>
      <c r="C18" s="9" t="s">
        <v>29</v>
      </c>
      <c r="D18" s="9" t="s">
        <v>30</v>
      </c>
      <c r="E18" s="9" t="s">
        <v>42</v>
      </c>
      <c r="F18" s="9" t="s">
        <v>57</v>
      </c>
      <c r="G18" s="9" t="s">
        <v>88</v>
      </c>
      <c r="H18" s="9" t="s">
        <v>40</v>
      </c>
      <c r="I18" s="9" t="s">
        <v>35</v>
      </c>
      <c r="J18" s="9" t="s">
        <v>41</v>
      </c>
      <c r="K18" s="7" t="n">
        <v>24</v>
      </c>
      <c r="L18" s="7" t="n">
        <v>8</v>
      </c>
      <c r="M18" s="7" t="n">
        <v>7</v>
      </c>
      <c r="N18" s="7" t="n">
        <v>1</v>
      </c>
      <c r="O18" s="7" t="n">
        <v>16</v>
      </c>
      <c r="P18" s="10" t="n">
        <f aca="false">IF(K18=0,0,O18/K18)</f>
        <v>0.666666666666667</v>
      </c>
      <c r="Q18" s="7"/>
      <c r="R18" s="7"/>
      <c r="S18" s="7"/>
      <c r="T18" s="7"/>
      <c r="U18" s="7"/>
      <c r="V18" s="7"/>
    </row>
    <row r="19" customFormat="false" ht="15" hidden="false" customHeight="false" outlineLevel="0" collapsed="false">
      <c r="A19" s="7" t="n">
        <v>17</v>
      </c>
      <c r="B19" s="8" t="n">
        <v>46421</v>
      </c>
      <c r="C19" s="9" t="s">
        <v>37</v>
      </c>
      <c r="D19" s="9" t="s">
        <v>30</v>
      </c>
      <c r="E19" s="9" t="s">
        <v>38</v>
      </c>
      <c r="F19" s="9" t="s">
        <v>54</v>
      </c>
      <c r="G19" s="9" t="s">
        <v>54</v>
      </c>
      <c r="H19" s="9" t="s">
        <v>56</v>
      </c>
      <c r="I19" s="9" t="s">
        <v>67</v>
      </c>
      <c r="J19" s="9" t="s">
        <v>36</v>
      </c>
      <c r="K19" s="7" t="n">
        <v>326</v>
      </c>
      <c r="L19" s="7" t="n">
        <v>137</v>
      </c>
      <c r="M19" s="7" t="n">
        <v>90</v>
      </c>
      <c r="N19" s="7" t="n">
        <v>47</v>
      </c>
      <c r="O19" s="7" t="n">
        <v>189</v>
      </c>
      <c r="P19" s="10" t="n">
        <f aca="false">IF(K19=0,0,O19/K19)</f>
        <v>0.579754601226994</v>
      </c>
      <c r="Q19" s="7" t="n">
        <v>1</v>
      </c>
      <c r="R19" s="7" t="n">
        <v>20</v>
      </c>
      <c r="S19" s="7" t="n">
        <v>0</v>
      </c>
      <c r="T19" s="7" t="n">
        <v>0</v>
      </c>
      <c r="U19" s="7" t="n">
        <v>11</v>
      </c>
      <c r="V19" s="7" t="n">
        <v>2</v>
      </c>
    </row>
    <row r="20" customFormat="false" ht="15" hidden="false" customHeight="false" outlineLevel="0" collapsed="false">
      <c r="A20" s="7" t="n">
        <v>18</v>
      </c>
      <c r="B20" s="8" t="n">
        <v>46421</v>
      </c>
      <c r="C20" s="9" t="s">
        <v>37</v>
      </c>
      <c r="D20" s="9" t="s">
        <v>30</v>
      </c>
      <c r="E20" s="9" t="s">
        <v>42</v>
      </c>
      <c r="F20" s="9" t="s">
        <v>54</v>
      </c>
      <c r="G20" s="9" t="s">
        <v>89</v>
      </c>
      <c r="H20" s="9" t="s">
        <v>56</v>
      </c>
      <c r="I20" s="9" t="s">
        <v>35</v>
      </c>
      <c r="J20" s="9" t="s">
        <v>41</v>
      </c>
      <c r="K20" s="7" t="n">
        <v>19</v>
      </c>
      <c r="L20" s="7" t="n">
        <v>1</v>
      </c>
      <c r="M20" s="7" t="n">
        <v>1</v>
      </c>
      <c r="N20" s="7" t="n">
        <v>0</v>
      </c>
      <c r="O20" s="7" t="n">
        <v>18</v>
      </c>
      <c r="P20" s="10" t="n">
        <f aca="false">IF(K20=0,0,O20/K20)</f>
        <v>0.947368421052632</v>
      </c>
      <c r="Q20" s="7"/>
      <c r="R20" s="7"/>
      <c r="S20" s="7"/>
      <c r="T20" s="7"/>
      <c r="U20" s="7"/>
      <c r="V20" s="7"/>
    </row>
    <row r="21" customFormat="false" ht="15" hidden="false" customHeight="false" outlineLevel="0" collapsed="false">
      <c r="A21" s="7" t="n">
        <v>19</v>
      </c>
      <c r="B21" s="8" t="n">
        <v>46423</v>
      </c>
      <c r="C21" s="9" t="s">
        <v>29</v>
      </c>
      <c r="D21" s="9" t="s">
        <v>30</v>
      </c>
      <c r="E21" s="9" t="s">
        <v>38</v>
      </c>
      <c r="F21" s="9" t="s">
        <v>72</v>
      </c>
      <c r="G21" s="9" t="s">
        <v>72</v>
      </c>
      <c r="H21" s="9" t="s">
        <v>34</v>
      </c>
      <c r="I21" s="9" t="s">
        <v>35</v>
      </c>
      <c r="J21" s="9" t="s">
        <v>36</v>
      </c>
      <c r="K21" s="7" t="n">
        <v>36</v>
      </c>
      <c r="L21" s="7" t="n">
        <v>16</v>
      </c>
      <c r="M21" s="7" t="n">
        <v>14</v>
      </c>
      <c r="N21" s="7" t="n">
        <v>2</v>
      </c>
      <c r="O21" s="7" t="n">
        <v>20</v>
      </c>
      <c r="P21" s="10" t="n">
        <f aca="false">IF(K21=0,0,O21/K21)</f>
        <v>0.555555555555556</v>
      </c>
      <c r="Q21" s="7" t="n">
        <v>1</v>
      </c>
      <c r="R21" s="7" t="n">
        <v>11</v>
      </c>
      <c r="S21" s="7" t="n">
        <v>0</v>
      </c>
      <c r="T21" s="7" t="n">
        <v>0</v>
      </c>
      <c r="U21" s="7" t="n">
        <v>0</v>
      </c>
      <c r="V21" s="7" t="n">
        <v>2</v>
      </c>
    </row>
    <row r="22" customFormat="false" ht="15" hidden="false" customHeight="false" outlineLevel="0" collapsed="false">
      <c r="A22" s="7" t="n">
        <v>20</v>
      </c>
      <c r="B22" s="8" t="n">
        <v>46423</v>
      </c>
      <c r="C22" s="9" t="s">
        <v>29</v>
      </c>
      <c r="D22" s="9" t="s">
        <v>30</v>
      </c>
      <c r="E22" s="9" t="s">
        <v>42</v>
      </c>
      <c r="F22" s="9" t="s">
        <v>54</v>
      </c>
      <c r="G22" s="9" t="s">
        <v>90</v>
      </c>
      <c r="H22" s="9" t="s">
        <v>56</v>
      </c>
      <c r="I22" s="9" t="s">
        <v>35</v>
      </c>
      <c r="J22" s="9" t="s">
        <v>41</v>
      </c>
      <c r="K22" s="7" t="n">
        <v>19</v>
      </c>
      <c r="L22" s="7" t="n">
        <v>3</v>
      </c>
      <c r="M22" s="7" t="n">
        <v>2</v>
      </c>
      <c r="N22" s="7" t="n">
        <v>1</v>
      </c>
      <c r="O22" s="7" t="n">
        <v>16</v>
      </c>
      <c r="P22" s="10" t="n">
        <f aca="false">IF(K22=0,0,O22/K22)</f>
        <v>0.842105263157895</v>
      </c>
      <c r="Q22" s="7"/>
      <c r="R22" s="7"/>
      <c r="S22" s="7"/>
      <c r="T22" s="7"/>
      <c r="U22" s="7"/>
      <c r="V22" s="7"/>
    </row>
    <row r="23" customFormat="false" ht="15" hidden="false" customHeight="false" outlineLevel="0" collapsed="false">
      <c r="A23" s="7" t="n">
        <v>21</v>
      </c>
      <c r="B23" s="8" t="n">
        <v>46428</v>
      </c>
      <c r="C23" s="9" t="s">
        <v>37</v>
      </c>
      <c r="D23" s="9" t="s">
        <v>30</v>
      </c>
      <c r="E23" s="9" t="s">
        <v>38</v>
      </c>
      <c r="F23" s="9" t="s">
        <v>68</v>
      </c>
      <c r="G23" s="9" t="s">
        <v>91</v>
      </c>
      <c r="H23" s="9" t="s">
        <v>34</v>
      </c>
      <c r="I23" s="9" t="s">
        <v>35</v>
      </c>
      <c r="J23" s="9" t="s">
        <v>41</v>
      </c>
      <c r="K23" s="7" t="n">
        <v>20</v>
      </c>
      <c r="L23" s="7" t="n">
        <v>4</v>
      </c>
      <c r="M23" s="7" t="n">
        <v>3</v>
      </c>
      <c r="N23" s="7" t="n">
        <v>1</v>
      </c>
      <c r="O23" s="7" t="n">
        <v>16</v>
      </c>
      <c r="P23" s="10" t="n">
        <f aca="false">IF(K23=0,0,O23/K23)</f>
        <v>0.8</v>
      </c>
      <c r="Q23" s="7"/>
      <c r="R23" s="7"/>
      <c r="S23" s="7"/>
      <c r="T23" s="7"/>
      <c r="U23" s="7"/>
      <c r="V23" s="7"/>
    </row>
    <row r="24" customFormat="false" ht="15" hidden="false" customHeight="false" outlineLevel="0" collapsed="false">
      <c r="A24" s="7" t="n">
        <v>22</v>
      </c>
      <c r="B24" s="8" t="n">
        <v>46428</v>
      </c>
      <c r="C24" s="9" t="s">
        <v>37</v>
      </c>
      <c r="D24" s="9" t="s">
        <v>30</v>
      </c>
      <c r="E24" s="9" t="s">
        <v>42</v>
      </c>
      <c r="F24" s="9" t="s">
        <v>65</v>
      </c>
      <c r="G24" s="9" t="s">
        <v>92</v>
      </c>
      <c r="H24" s="9" t="s">
        <v>56</v>
      </c>
      <c r="I24" s="9" t="s">
        <v>35</v>
      </c>
      <c r="J24" s="9" t="s">
        <v>41</v>
      </c>
      <c r="K24" s="7" t="n">
        <v>16</v>
      </c>
      <c r="L24" s="7" t="n">
        <v>2</v>
      </c>
      <c r="M24" s="7" t="n">
        <v>2</v>
      </c>
      <c r="N24" s="7" t="n">
        <v>0</v>
      </c>
      <c r="O24" s="7" t="n">
        <v>14</v>
      </c>
      <c r="P24" s="10" t="n">
        <f aca="false">IF(K24=0,0,O24/K24)</f>
        <v>0.875</v>
      </c>
      <c r="Q24" s="7"/>
      <c r="R24" s="7"/>
      <c r="S24" s="7"/>
      <c r="T24" s="7"/>
      <c r="U24" s="7"/>
      <c r="V24" s="7"/>
    </row>
    <row r="25" customFormat="false" ht="15" hidden="false" customHeight="false" outlineLevel="0" collapsed="false">
      <c r="A25" s="7" t="n">
        <v>23</v>
      </c>
      <c r="B25" s="8" t="n">
        <v>46430</v>
      </c>
      <c r="C25" s="9" t="s">
        <v>29</v>
      </c>
      <c r="D25" s="9" t="s">
        <v>30</v>
      </c>
      <c r="E25" s="9" t="s">
        <v>38</v>
      </c>
      <c r="F25" s="9" t="s">
        <v>72</v>
      </c>
      <c r="G25" s="9" t="s">
        <v>93</v>
      </c>
      <c r="H25" s="9" t="s">
        <v>34</v>
      </c>
      <c r="I25" s="9" t="s">
        <v>35</v>
      </c>
      <c r="J25" s="9" t="s">
        <v>41</v>
      </c>
      <c r="K25" s="7" t="n">
        <v>18</v>
      </c>
      <c r="L25" s="7" t="n">
        <v>4</v>
      </c>
      <c r="M25" s="7" t="n">
        <v>4</v>
      </c>
      <c r="N25" s="7" t="n">
        <v>0</v>
      </c>
      <c r="O25" s="7" t="n">
        <v>14</v>
      </c>
      <c r="P25" s="10" t="n">
        <f aca="false">IF(K25=0,0,O25/K25)</f>
        <v>0.777777777777778</v>
      </c>
      <c r="Q25" s="7"/>
      <c r="R25" s="7"/>
      <c r="S25" s="7"/>
      <c r="T25" s="7"/>
      <c r="U25" s="7"/>
      <c r="V25" s="7"/>
    </row>
    <row r="26" customFormat="false" ht="15" hidden="false" customHeight="false" outlineLevel="0" collapsed="false">
      <c r="A26" s="7" t="n">
        <v>24</v>
      </c>
      <c r="B26" s="8" t="n">
        <v>46430</v>
      </c>
      <c r="C26" s="9" t="s">
        <v>29</v>
      </c>
      <c r="D26" s="9" t="s">
        <v>30</v>
      </c>
      <c r="E26" s="9" t="s">
        <v>42</v>
      </c>
      <c r="F26" s="9" t="s">
        <v>65</v>
      </c>
      <c r="G26" s="9" t="s">
        <v>94</v>
      </c>
      <c r="H26" s="9" t="s">
        <v>56</v>
      </c>
      <c r="I26" s="9" t="s">
        <v>35</v>
      </c>
      <c r="J26" s="9" t="s">
        <v>41</v>
      </c>
      <c r="K26" s="7" t="n">
        <v>16</v>
      </c>
      <c r="L26" s="7" t="n">
        <v>10</v>
      </c>
      <c r="M26" s="7" t="n">
        <v>10</v>
      </c>
      <c r="N26" s="7" t="n">
        <v>0</v>
      </c>
      <c r="O26" s="7" t="n">
        <v>6</v>
      </c>
      <c r="P26" s="10" t="n">
        <f aca="false">IF(K26=0,0,O26/K26)</f>
        <v>0.375</v>
      </c>
      <c r="Q26" s="7"/>
      <c r="R26" s="7"/>
      <c r="S26" s="7"/>
      <c r="T26" s="7"/>
      <c r="U26" s="7"/>
      <c r="V26" s="7"/>
    </row>
    <row r="27" customFormat="false" ht="15" hidden="false" customHeight="false" outlineLevel="0" collapsed="false">
      <c r="A27" s="7" t="n">
        <v>25</v>
      </c>
      <c r="B27" s="8" t="n">
        <v>46435</v>
      </c>
      <c r="C27" s="9" t="s">
        <v>37</v>
      </c>
      <c r="D27" s="9" t="s">
        <v>30</v>
      </c>
      <c r="E27" s="9" t="s">
        <v>38</v>
      </c>
      <c r="F27" s="9" t="s">
        <v>61</v>
      </c>
      <c r="G27" s="9" t="s">
        <v>95</v>
      </c>
      <c r="H27" s="9" t="s">
        <v>34</v>
      </c>
      <c r="I27" s="9" t="s">
        <v>35</v>
      </c>
      <c r="J27" s="9" t="s">
        <v>41</v>
      </c>
      <c r="K27" s="7" t="n">
        <v>20</v>
      </c>
      <c r="L27" s="7" t="n">
        <v>2</v>
      </c>
      <c r="M27" s="7" t="n">
        <v>2</v>
      </c>
      <c r="N27" s="7" t="n">
        <v>0</v>
      </c>
      <c r="O27" s="7" t="n">
        <v>18</v>
      </c>
      <c r="P27" s="10" t="n">
        <f aca="false">IF(K27=0,0,O27/K27)</f>
        <v>0.9</v>
      </c>
      <c r="Q27" s="7"/>
      <c r="R27" s="7"/>
      <c r="S27" s="7"/>
      <c r="T27" s="7"/>
      <c r="U27" s="7"/>
      <c r="V27" s="7"/>
    </row>
    <row r="28" customFormat="false" ht="15" hidden="false" customHeight="false" outlineLevel="0" collapsed="false">
      <c r="A28" s="7" t="n">
        <v>26</v>
      </c>
      <c r="B28" s="8" t="n">
        <v>46435</v>
      </c>
      <c r="C28" s="9" t="s">
        <v>37</v>
      </c>
      <c r="D28" s="9" t="s">
        <v>30</v>
      </c>
      <c r="E28" s="9" t="s">
        <v>42</v>
      </c>
      <c r="F28" s="9" t="s">
        <v>77</v>
      </c>
      <c r="G28" s="9" t="s">
        <v>96</v>
      </c>
      <c r="H28" s="9" t="s">
        <v>40</v>
      </c>
      <c r="I28" s="9" t="s">
        <v>35</v>
      </c>
      <c r="J28" s="9" t="s">
        <v>41</v>
      </c>
      <c r="K28" s="7" t="n">
        <v>16</v>
      </c>
      <c r="L28" s="7" t="n">
        <v>3</v>
      </c>
      <c r="M28" s="7" t="n">
        <v>3</v>
      </c>
      <c r="N28" s="7" t="n">
        <v>0</v>
      </c>
      <c r="O28" s="7" t="n">
        <v>13</v>
      </c>
      <c r="P28" s="10" t="n">
        <f aca="false">IF(K28=0,0,O28/K28)</f>
        <v>0.8125</v>
      </c>
      <c r="Q28" s="7"/>
      <c r="R28" s="7"/>
      <c r="S28" s="7"/>
      <c r="T28" s="7"/>
      <c r="U28" s="7"/>
      <c r="V28" s="7"/>
    </row>
    <row r="29" customFormat="false" ht="15" hidden="false" customHeight="false" outlineLevel="0" collapsed="false">
      <c r="A29" s="7" t="n">
        <v>27</v>
      </c>
      <c r="B29" s="8" t="n">
        <v>46437</v>
      </c>
      <c r="C29" s="9" t="s">
        <v>29</v>
      </c>
      <c r="D29" s="9" t="s">
        <v>30</v>
      </c>
      <c r="E29" s="9" t="s">
        <v>38</v>
      </c>
      <c r="F29" s="9" t="s">
        <v>85</v>
      </c>
      <c r="G29" s="9" t="s">
        <v>97</v>
      </c>
      <c r="H29" s="9" t="s">
        <v>34</v>
      </c>
      <c r="I29" s="9" t="s">
        <v>35</v>
      </c>
      <c r="J29" s="9" t="s">
        <v>36</v>
      </c>
      <c r="K29" s="7" t="n">
        <v>18</v>
      </c>
      <c r="L29" s="7" t="n">
        <v>2</v>
      </c>
      <c r="M29" s="7" t="n">
        <v>2</v>
      </c>
      <c r="N29" s="7" t="n">
        <v>0</v>
      </c>
      <c r="O29" s="7" t="n">
        <v>16</v>
      </c>
      <c r="P29" s="10" t="n">
        <f aca="false">IF(K29=0,0,O29/K29)</f>
        <v>0.888888888888889</v>
      </c>
      <c r="Q29" s="7" t="n">
        <v>1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</row>
    <row r="30" customFormat="false" ht="15" hidden="false" customHeight="false" outlineLevel="0" collapsed="false">
      <c r="A30" s="7" t="n">
        <v>28</v>
      </c>
      <c r="B30" s="8" t="n">
        <v>46437</v>
      </c>
      <c r="C30" s="9" t="s">
        <v>29</v>
      </c>
      <c r="D30" s="9" t="s">
        <v>30</v>
      </c>
      <c r="E30" s="9" t="s">
        <v>42</v>
      </c>
      <c r="F30" s="9" t="s">
        <v>77</v>
      </c>
      <c r="G30" s="9" t="s">
        <v>98</v>
      </c>
      <c r="H30" s="9" t="s">
        <v>40</v>
      </c>
      <c r="I30" s="9" t="s">
        <v>35</v>
      </c>
      <c r="J30" s="9" t="s">
        <v>41</v>
      </c>
      <c r="K30" s="7" t="n">
        <v>18</v>
      </c>
      <c r="L30" s="7" t="n">
        <v>6</v>
      </c>
      <c r="M30" s="7" t="n">
        <v>4</v>
      </c>
      <c r="N30" s="7" t="n">
        <v>2</v>
      </c>
      <c r="O30" s="7" t="n">
        <v>12</v>
      </c>
      <c r="P30" s="10" t="n">
        <f aca="false">IF(K30=0,0,O30/K30)</f>
        <v>0.666666666666667</v>
      </c>
      <c r="Q30" s="7"/>
      <c r="R30" s="7"/>
      <c r="S30" s="7"/>
      <c r="T30" s="7"/>
      <c r="U30" s="7"/>
      <c r="V30" s="7"/>
    </row>
    <row r="31" customFormat="false" ht="15" hidden="false" customHeight="false" outlineLevel="0" collapsed="false">
      <c r="A31" s="7" t="n">
        <v>29</v>
      </c>
      <c r="B31" s="8" t="n">
        <v>46442</v>
      </c>
      <c r="C31" s="9" t="s">
        <v>37</v>
      </c>
      <c r="D31" s="9" t="s">
        <v>30</v>
      </c>
      <c r="E31" s="9" t="s">
        <v>38</v>
      </c>
      <c r="F31" s="9" t="s">
        <v>47</v>
      </c>
      <c r="G31" s="9" t="s">
        <v>99</v>
      </c>
      <c r="H31" s="9" t="s">
        <v>34</v>
      </c>
      <c r="I31" s="9" t="s">
        <v>35</v>
      </c>
      <c r="J31" s="9" t="s">
        <v>41</v>
      </c>
      <c r="K31" s="7" t="n">
        <v>16</v>
      </c>
      <c r="L31" s="7" t="n">
        <v>2</v>
      </c>
      <c r="M31" s="7" t="n">
        <v>2</v>
      </c>
      <c r="N31" s="7" t="n">
        <v>0</v>
      </c>
      <c r="O31" s="7" t="n">
        <v>14</v>
      </c>
      <c r="P31" s="10" t="n">
        <f aca="false">IF(K31=0,0,O31/K31)</f>
        <v>0.875</v>
      </c>
      <c r="Q31" s="7"/>
      <c r="R31" s="7"/>
      <c r="S31" s="7"/>
      <c r="T31" s="7"/>
      <c r="U31" s="7"/>
      <c r="V31" s="7"/>
    </row>
    <row r="32" customFormat="false" ht="15" hidden="false" customHeight="false" outlineLevel="0" collapsed="false">
      <c r="A32" s="7" t="n">
        <v>30</v>
      </c>
      <c r="B32" s="8" t="n">
        <v>46444</v>
      </c>
      <c r="C32" s="9" t="s">
        <v>29</v>
      </c>
      <c r="D32" s="9" t="s">
        <v>30</v>
      </c>
      <c r="E32" s="9" t="s">
        <v>38</v>
      </c>
      <c r="F32" s="9" t="s">
        <v>59</v>
      </c>
      <c r="G32" s="9" t="s">
        <v>100</v>
      </c>
      <c r="H32" s="9" t="s">
        <v>34</v>
      </c>
      <c r="I32" s="9" t="s">
        <v>35</v>
      </c>
      <c r="J32" s="9" t="s">
        <v>41</v>
      </c>
      <c r="K32" s="7" t="n">
        <v>15</v>
      </c>
      <c r="L32" s="7" t="n">
        <v>0</v>
      </c>
      <c r="M32" s="7" t="n">
        <v>0</v>
      </c>
      <c r="N32" s="7" t="n">
        <v>0</v>
      </c>
      <c r="O32" s="7" t="n">
        <v>15</v>
      </c>
      <c r="P32" s="10" t="n">
        <f aca="false">IF(K32=0,0,O32/K32)</f>
        <v>1</v>
      </c>
      <c r="Q32" s="7"/>
      <c r="R32" s="7"/>
      <c r="S32" s="7"/>
      <c r="T32" s="7"/>
      <c r="U32" s="7"/>
      <c r="V32" s="7"/>
    </row>
    <row r="33" customFormat="false" ht="15" hidden="false" customHeight="false" outlineLevel="0" collapsed="false">
      <c r="A33" s="7" t="n">
        <v>31</v>
      </c>
      <c r="B33" s="8" t="n">
        <v>46444</v>
      </c>
      <c r="C33" s="9" t="s">
        <v>29</v>
      </c>
      <c r="D33" s="9" t="s">
        <v>30</v>
      </c>
      <c r="E33" s="9" t="s">
        <v>42</v>
      </c>
      <c r="F33" s="9" t="s">
        <v>57</v>
      </c>
      <c r="G33" s="9" t="s">
        <v>101</v>
      </c>
      <c r="H33" s="9" t="s">
        <v>40</v>
      </c>
      <c r="I33" s="9" t="s">
        <v>67</v>
      </c>
      <c r="J33" s="9" t="s">
        <v>41</v>
      </c>
      <c r="K33" s="7" t="n">
        <v>86</v>
      </c>
      <c r="L33" s="7" t="n">
        <v>141</v>
      </c>
      <c r="M33" s="7" t="n">
        <v>67</v>
      </c>
      <c r="N33" s="7" t="n">
        <v>74</v>
      </c>
      <c r="O33" s="7" t="n">
        <v>-55</v>
      </c>
      <c r="P33" s="10" t="n">
        <f aca="false">IF(K33=0,0,O33/K33)</f>
        <v>-0.63953488372093</v>
      </c>
      <c r="Q33" s="7"/>
      <c r="R33" s="7"/>
      <c r="S33" s="7"/>
      <c r="T33" s="7"/>
      <c r="U33" s="7"/>
      <c r="V33" s="7"/>
    </row>
    <row r="34" customFormat="false" ht="15" hidden="false" customHeight="false" outlineLevel="0" collapsed="false">
      <c r="A34" s="7" t="n">
        <v>32</v>
      </c>
      <c r="B34" s="8" t="n">
        <v>46449</v>
      </c>
      <c r="C34" s="9" t="s">
        <v>37</v>
      </c>
      <c r="D34" s="9" t="s">
        <v>30</v>
      </c>
      <c r="E34" s="9" t="s">
        <v>38</v>
      </c>
      <c r="F34" s="9" t="s">
        <v>54</v>
      </c>
      <c r="G34" s="9" t="s">
        <v>102</v>
      </c>
      <c r="H34" s="9" t="s">
        <v>56</v>
      </c>
      <c r="I34" s="9" t="s">
        <v>35</v>
      </c>
      <c r="J34" s="9" t="s">
        <v>41</v>
      </c>
      <c r="K34" s="7" t="n">
        <v>21</v>
      </c>
      <c r="L34" s="7" t="n">
        <v>4</v>
      </c>
      <c r="M34" s="7" t="n">
        <v>3</v>
      </c>
      <c r="N34" s="7" t="n">
        <v>1</v>
      </c>
      <c r="O34" s="7" t="n">
        <v>17</v>
      </c>
      <c r="P34" s="10" t="n">
        <f aca="false">IF(K34=0,0,O34/K34)</f>
        <v>0.80952380952381</v>
      </c>
      <c r="Q34" s="7"/>
      <c r="R34" s="7"/>
      <c r="S34" s="7"/>
      <c r="T34" s="7"/>
      <c r="U34" s="7"/>
      <c r="V34" s="7"/>
    </row>
    <row r="35" customFormat="false" ht="15" hidden="false" customHeight="false" outlineLevel="0" collapsed="false">
      <c r="A35" s="7" t="n">
        <v>33</v>
      </c>
      <c r="B35" s="8" t="n">
        <v>46449</v>
      </c>
      <c r="C35" s="9" t="s">
        <v>37</v>
      </c>
      <c r="D35" s="9" t="s">
        <v>30</v>
      </c>
      <c r="E35" s="9" t="s">
        <v>42</v>
      </c>
      <c r="F35" s="9" t="s">
        <v>57</v>
      </c>
      <c r="G35" s="9" t="s">
        <v>103</v>
      </c>
      <c r="H35" s="9" t="s">
        <v>40</v>
      </c>
      <c r="I35" s="9" t="s">
        <v>35</v>
      </c>
      <c r="J35" s="9" t="s">
        <v>41</v>
      </c>
      <c r="K35" s="7" t="n">
        <v>77</v>
      </c>
      <c r="L35" s="7" t="n">
        <v>146</v>
      </c>
      <c r="M35" s="7" t="n">
        <v>47</v>
      </c>
      <c r="N35" s="7" t="n">
        <v>99</v>
      </c>
      <c r="O35" s="7" t="n">
        <v>-69</v>
      </c>
      <c r="P35" s="10" t="n">
        <f aca="false">IF(K35=0,0,O35/K35)</f>
        <v>-0.896103896103896</v>
      </c>
      <c r="Q35" s="7"/>
      <c r="R35" s="7"/>
      <c r="S35" s="7"/>
      <c r="T35" s="7"/>
      <c r="U35" s="7"/>
      <c r="V35" s="7"/>
    </row>
    <row r="37" customFormat="false" ht="15" hidden="false" customHeight="false" outlineLevel="0" collapsed="false">
      <c r="A37" s="13" t="s">
        <v>137</v>
      </c>
    </row>
  </sheetData>
  <autoFilter ref="A1:V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7" min="15" style="0" width="11"/>
    <col collapsed="false" customWidth="true" hidden="false" outlineLevel="0" max="18" min="18" style="0" width="12"/>
    <col collapsed="false" customWidth="true" hidden="false" outlineLevel="0" max="19" min="19" style="0" width="10"/>
    <col collapsed="false" customWidth="true" hidden="false" outlineLevel="0" max="20" min="20" style="0" width="8"/>
    <col collapsed="false" customWidth="true" hidden="false" outlineLevel="0" max="21" min="21" style="0" width="13"/>
    <col collapsed="false" customWidth="true" hidden="false" outlineLevel="0" max="23" min="22" style="0" width="8"/>
  </cols>
  <sheetData>
    <row r="1" customFormat="false" ht="35.05" hidden="false" customHeight="false" outlineLevel="0" collapsed="false">
      <c r="A1" s="1" t="s">
        <v>1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customFormat="false" ht="15" hidden="false" customHeight="false" outlineLevel="0" collapsed="false">
      <c r="A2" s="2" t="s">
        <v>25</v>
      </c>
      <c r="B2" s="3"/>
      <c r="C2" s="3"/>
      <c r="D2" s="3"/>
      <c r="E2" s="3"/>
      <c r="F2" s="3"/>
      <c r="G2" s="3"/>
      <c r="H2" s="3" t="s">
        <v>138</v>
      </c>
      <c r="I2" s="3"/>
      <c r="J2" s="3"/>
      <c r="K2" s="3"/>
      <c r="L2" s="4" t="n">
        <f aca="false">SUM(L3:L21)</f>
        <v>151</v>
      </c>
      <c r="M2" s="4" t="n">
        <f aca="false">SUM(M3:M21)</f>
        <v>22</v>
      </c>
      <c r="N2" s="4" t="n">
        <f aca="false">SUM(N3:N21)</f>
        <v>21</v>
      </c>
      <c r="O2" s="4" t="n">
        <f aca="false">SUM(O3:O21)</f>
        <v>1</v>
      </c>
      <c r="P2" s="4" t="n">
        <f aca="false">SUM(P3:P21)</f>
        <v>129</v>
      </c>
      <c r="Q2" s="5" t="n">
        <f aca="false">IF(L2=0,0,P2/L2)</f>
        <v>0.854304635761589</v>
      </c>
      <c r="R2" s="4" t="n">
        <f aca="false">SUM(R3:R21)</f>
        <v>1</v>
      </c>
      <c r="S2" s="4" t="n">
        <f aca="false">SUM(S3:S21)</f>
        <v>20</v>
      </c>
      <c r="T2" s="4" t="n">
        <f aca="false">SUM(T3:T21)</f>
        <v>0</v>
      </c>
      <c r="U2" s="4" t="n">
        <f aca="false">SUM(U3:U21)</f>
        <v>0</v>
      </c>
      <c r="V2" s="4" t="n">
        <f aca="false">SUM(V3:V21)</f>
        <v>0</v>
      </c>
      <c r="W2" s="4" t="n">
        <f aca="false">SUM(W3:W21)</f>
        <v>0</v>
      </c>
    </row>
    <row r="3" customFormat="false" ht="15" hidden="false" customHeight="false" outlineLevel="0" collapsed="false">
      <c r="A3" s="7" t="n">
        <v>1</v>
      </c>
      <c r="B3" s="8" t="n">
        <v>46451</v>
      </c>
      <c r="C3" s="9" t="s">
        <v>29</v>
      </c>
      <c r="D3" s="9" t="s">
        <v>30</v>
      </c>
      <c r="E3" s="9" t="s">
        <v>106</v>
      </c>
      <c r="F3" s="9" t="s">
        <v>32</v>
      </c>
      <c r="G3" s="9" t="s">
        <v>63</v>
      </c>
      <c r="H3" s="9" t="s">
        <v>107</v>
      </c>
      <c r="I3" s="9" t="s">
        <v>40</v>
      </c>
      <c r="J3" s="9" t="s">
        <v>35</v>
      </c>
      <c r="K3" s="9" t="s">
        <v>41</v>
      </c>
      <c r="L3" s="7" t="n">
        <v>13</v>
      </c>
      <c r="M3" s="7" t="n">
        <v>3</v>
      </c>
      <c r="N3" s="7" t="n">
        <v>2</v>
      </c>
      <c r="O3" s="7" t="n">
        <v>1</v>
      </c>
      <c r="P3" s="7" t="n">
        <v>10</v>
      </c>
      <c r="Q3" s="10" t="n">
        <f aca="false">IF(L3=0,0,P3/L3)</f>
        <v>0.769230769230769</v>
      </c>
      <c r="R3" s="7"/>
      <c r="S3" s="7"/>
      <c r="T3" s="7"/>
      <c r="U3" s="7"/>
      <c r="V3" s="7"/>
      <c r="W3" s="7"/>
    </row>
    <row r="4" customFormat="false" ht="15" hidden="false" customHeight="false" outlineLevel="0" collapsed="false">
      <c r="A4" s="7" t="n">
        <v>1</v>
      </c>
      <c r="B4" s="8" t="n">
        <v>46451</v>
      </c>
      <c r="C4" s="9" t="s">
        <v>29</v>
      </c>
      <c r="D4" s="9" t="s">
        <v>30</v>
      </c>
      <c r="E4" s="9" t="s">
        <v>106</v>
      </c>
      <c r="F4" s="9" t="s">
        <v>108</v>
      </c>
      <c r="G4" s="9" t="s">
        <v>63</v>
      </c>
      <c r="H4" s="9" t="s">
        <v>109</v>
      </c>
      <c r="I4" s="9" t="s">
        <v>40</v>
      </c>
      <c r="J4" s="9" t="s">
        <v>35</v>
      </c>
      <c r="K4" s="9" t="s">
        <v>41</v>
      </c>
      <c r="L4" s="7" t="n">
        <v>8</v>
      </c>
      <c r="M4" s="7" t="n">
        <v>0</v>
      </c>
      <c r="N4" s="7" t="n">
        <v>0</v>
      </c>
      <c r="O4" s="7" t="n">
        <v>0</v>
      </c>
      <c r="P4" s="7" t="n">
        <v>8</v>
      </c>
      <c r="Q4" s="10" t="n">
        <f aca="false">IF(L4=0,0,P4/L4)</f>
        <v>1</v>
      </c>
      <c r="R4" s="7"/>
      <c r="S4" s="7"/>
      <c r="T4" s="7"/>
      <c r="U4" s="7"/>
      <c r="V4" s="7"/>
      <c r="W4" s="7"/>
    </row>
    <row r="5" customFormat="false" ht="15" hidden="false" customHeight="false" outlineLevel="0" collapsed="false">
      <c r="A5" s="7" t="n">
        <v>1</v>
      </c>
      <c r="B5" s="8" t="n">
        <v>46451</v>
      </c>
      <c r="C5" s="9" t="s">
        <v>29</v>
      </c>
      <c r="D5" s="9" t="s">
        <v>30</v>
      </c>
      <c r="E5" s="9" t="s">
        <v>106</v>
      </c>
      <c r="F5" s="9" t="s">
        <v>108</v>
      </c>
      <c r="G5" s="9" t="s">
        <v>63</v>
      </c>
      <c r="H5" s="9" t="s">
        <v>110</v>
      </c>
      <c r="I5" s="9" t="s">
        <v>40</v>
      </c>
      <c r="J5" s="9" t="s">
        <v>35</v>
      </c>
      <c r="K5" s="9" t="s">
        <v>41</v>
      </c>
      <c r="L5" s="7" t="n">
        <v>3</v>
      </c>
      <c r="M5" s="7" t="n">
        <v>0</v>
      </c>
      <c r="N5" s="7" t="n">
        <v>0</v>
      </c>
      <c r="O5" s="7" t="n">
        <v>0</v>
      </c>
      <c r="P5" s="7" t="n">
        <v>3</v>
      </c>
      <c r="Q5" s="10" t="n">
        <f aca="false">IF(L5=0,0,P5/L5)</f>
        <v>1</v>
      </c>
      <c r="R5" s="7"/>
      <c r="S5" s="7"/>
      <c r="T5" s="7"/>
      <c r="U5" s="7"/>
      <c r="V5" s="7"/>
      <c r="W5" s="7"/>
    </row>
    <row r="6" customFormat="false" ht="15" hidden="false" customHeight="false" outlineLevel="0" collapsed="false">
      <c r="A6" s="7" t="n">
        <v>2</v>
      </c>
      <c r="B6" s="8" t="n">
        <v>46451</v>
      </c>
      <c r="C6" s="9" t="s">
        <v>29</v>
      </c>
      <c r="D6" s="9" t="s">
        <v>30</v>
      </c>
      <c r="E6" s="9" t="s">
        <v>111</v>
      </c>
      <c r="F6" s="9" t="s">
        <v>32</v>
      </c>
      <c r="G6" s="9" t="s">
        <v>59</v>
      </c>
      <c r="H6" s="9" t="s">
        <v>112</v>
      </c>
      <c r="I6" s="9" t="s">
        <v>34</v>
      </c>
      <c r="J6" s="9" t="s">
        <v>35</v>
      </c>
      <c r="K6" s="9" t="s">
        <v>36</v>
      </c>
      <c r="L6" s="7" t="n">
        <v>9</v>
      </c>
      <c r="M6" s="7" t="n">
        <v>1</v>
      </c>
      <c r="N6" s="7" t="n">
        <v>1</v>
      </c>
      <c r="O6" s="7" t="n">
        <v>0</v>
      </c>
      <c r="P6" s="7" t="n">
        <v>8</v>
      </c>
      <c r="Q6" s="10" t="n">
        <f aca="false">IF(L6=0,0,P6/L6)</f>
        <v>0.888888888888889</v>
      </c>
      <c r="R6" s="7" t="n">
        <v>1</v>
      </c>
      <c r="S6" s="7" t="n">
        <v>20</v>
      </c>
      <c r="T6" s="7" t="n">
        <v>0</v>
      </c>
      <c r="U6" s="7" t="n">
        <v>0</v>
      </c>
      <c r="V6" s="7" t="n">
        <v>0</v>
      </c>
      <c r="W6" s="7" t="n">
        <v>0</v>
      </c>
    </row>
    <row r="7" customFormat="false" ht="15" hidden="false" customHeight="false" outlineLevel="0" collapsed="false">
      <c r="A7" s="7" t="n">
        <v>2</v>
      </c>
      <c r="B7" s="8" t="n">
        <v>46451</v>
      </c>
      <c r="C7" s="9" t="s">
        <v>29</v>
      </c>
      <c r="D7" s="9" t="s">
        <v>30</v>
      </c>
      <c r="E7" s="9" t="s">
        <v>111</v>
      </c>
      <c r="F7" s="9" t="s">
        <v>108</v>
      </c>
      <c r="G7" s="9" t="s">
        <v>54</v>
      </c>
      <c r="H7" s="9" t="s">
        <v>113</v>
      </c>
      <c r="I7" s="9" t="s">
        <v>56</v>
      </c>
      <c r="J7" s="9" t="s">
        <v>35</v>
      </c>
      <c r="K7" s="9" t="s">
        <v>41</v>
      </c>
      <c r="L7" s="7" t="n">
        <v>13</v>
      </c>
      <c r="M7" s="7" t="n">
        <v>5</v>
      </c>
      <c r="N7" s="7" t="n">
        <v>5</v>
      </c>
      <c r="O7" s="7" t="n">
        <v>0</v>
      </c>
      <c r="P7" s="7" t="n">
        <v>8</v>
      </c>
      <c r="Q7" s="10" t="n">
        <f aca="false">IF(L7=0,0,P7/L7)</f>
        <v>0.615384615384615</v>
      </c>
      <c r="R7" s="7"/>
      <c r="S7" s="7"/>
      <c r="T7" s="7"/>
      <c r="U7" s="7"/>
      <c r="V7" s="7"/>
      <c r="W7" s="7"/>
    </row>
    <row r="8" customFormat="false" ht="15" hidden="false" customHeight="false" outlineLevel="0" collapsed="false">
      <c r="A8" s="7" t="n">
        <v>2</v>
      </c>
      <c r="B8" s="8" t="n">
        <v>46451</v>
      </c>
      <c r="C8" s="9" t="s">
        <v>29</v>
      </c>
      <c r="D8" s="9" t="s">
        <v>30</v>
      </c>
      <c r="E8" s="9" t="s">
        <v>111</v>
      </c>
      <c r="F8" s="9" t="s">
        <v>108</v>
      </c>
      <c r="G8" s="9" t="s">
        <v>59</v>
      </c>
      <c r="H8" s="9" t="s">
        <v>114</v>
      </c>
      <c r="I8" s="9" t="s">
        <v>34</v>
      </c>
      <c r="J8" s="9" t="s">
        <v>35</v>
      </c>
      <c r="K8" s="9" t="s">
        <v>41</v>
      </c>
      <c r="L8" s="7" t="n">
        <v>10</v>
      </c>
      <c r="M8" s="7" t="n">
        <v>2</v>
      </c>
      <c r="N8" s="7" t="n">
        <v>2</v>
      </c>
      <c r="O8" s="7" t="n">
        <v>0</v>
      </c>
      <c r="P8" s="7" t="n">
        <v>8</v>
      </c>
      <c r="Q8" s="10" t="n">
        <f aca="false">IF(L8=0,0,P8/L8)</f>
        <v>0.8</v>
      </c>
      <c r="R8" s="7"/>
      <c r="S8" s="7"/>
      <c r="T8" s="7"/>
      <c r="U8" s="7"/>
      <c r="V8" s="7"/>
      <c r="W8" s="7"/>
    </row>
    <row r="9" customFormat="false" ht="15" hidden="false" customHeight="false" outlineLevel="0" collapsed="false">
      <c r="A9" s="7" t="n">
        <v>3</v>
      </c>
      <c r="B9" s="8" t="n">
        <v>46458</v>
      </c>
      <c r="C9" s="9" t="s">
        <v>29</v>
      </c>
      <c r="D9" s="9" t="s">
        <v>30</v>
      </c>
      <c r="E9" s="9" t="s">
        <v>115</v>
      </c>
      <c r="F9" s="9" t="s">
        <v>32</v>
      </c>
      <c r="G9" s="9" t="s">
        <v>65</v>
      </c>
      <c r="H9" s="9" t="s">
        <v>116</v>
      </c>
      <c r="I9" s="9" t="s">
        <v>56</v>
      </c>
      <c r="J9" s="9" t="s">
        <v>35</v>
      </c>
      <c r="K9" s="9" t="s">
        <v>41</v>
      </c>
      <c r="L9" s="7" t="n">
        <v>14</v>
      </c>
      <c r="M9" s="7" t="n">
        <v>2</v>
      </c>
      <c r="N9" s="7" t="n">
        <v>2</v>
      </c>
      <c r="O9" s="7" t="n">
        <v>0</v>
      </c>
      <c r="P9" s="7" t="n">
        <v>12</v>
      </c>
      <c r="Q9" s="10" t="n">
        <f aca="false">IF(L9=0,0,P9/L9)</f>
        <v>0.857142857142857</v>
      </c>
      <c r="R9" s="7"/>
      <c r="S9" s="7"/>
      <c r="T9" s="7"/>
      <c r="U9" s="7"/>
      <c r="V9" s="7"/>
      <c r="W9" s="7"/>
    </row>
    <row r="10" customFormat="false" ht="15" hidden="false" customHeight="false" outlineLevel="0" collapsed="false">
      <c r="A10" s="7" t="n">
        <v>3</v>
      </c>
      <c r="B10" s="8" t="n">
        <v>46458</v>
      </c>
      <c r="C10" s="9" t="s">
        <v>29</v>
      </c>
      <c r="D10" s="9" t="s">
        <v>30</v>
      </c>
      <c r="E10" s="9" t="s">
        <v>115</v>
      </c>
      <c r="F10" s="9" t="s">
        <v>108</v>
      </c>
      <c r="G10" s="9" t="s">
        <v>65</v>
      </c>
      <c r="H10" s="9" t="s">
        <v>117</v>
      </c>
      <c r="I10" s="9" t="s">
        <v>56</v>
      </c>
      <c r="J10" s="9" t="s">
        <v>35</v>
      </c>
      <c r="K10" s="9" t="s">
        <v>41</v>
      </c>
      <c r="L10" s="7" t="n">
        <v>11</v>
      </c>
      <c r="M10" s="7" t="n">
        <v>2</v>
      </c>
      <c r="N10" s="7" t="n">
        <v>2</v>
      </c>
      <c r="O10" s="7" t="n">
        <v>0</v>
      </c>
      <c r="P10" s="7" t="n">
        <v>9</v>
      </c>
      <c r="Q10" s="10" t="n">
        <f aca="false">IF(L10=0,0,P10/L10)</f>
        <v>0.818181818181818</v>
      </c>
      <c r="R10" s="7"/>
      <c r="S10" s="7"/>
      <c r="T10" s="7"/>
      <c r="U10" s="7"/>
      <c r="V10" s="7"/>
      <c r="W10" s="7"/>
    </row>
    <row r="11" customFormat="false" ht="15" hidden="false" customHeight="false" outlineLevel="0" collapsed="false">
      <c r="A11" s="7" t="n">
        <v>3</v>
      </c>
      <c r="B11" s="8" t="n">
        <v>46458</v>
      </c>
      <c r="C11" s="9" t="s">
        <v>29</v>
      </c>
      <c r="D11" s="9" t="s">
        <v>30</v>
      </c>
      <c r="E11" s="9" t="s">
        <v>115</v>
      </c>
      <c r="F11" s="9" t="s">
        <v>108</v>
      </c>
      <c r="G11" s="9" t="s">
        <v>65</v>
      </c>
      <c r="H11" s="9" t="s">
        <v>118</v>
      </c>
      <c r="I11" s="9" t="s">
        <v>56</v>
      </c>
      <c r="J11" s="9" t="s">
        <v>35</v>
      </c>
      <c r="K11" s="9" t="s">
        <v>41</v>
      </c>
      <c r="L11" s="7" t="n">
        <v>4</v>
      </c>
      <c r="M11" s="7" t="n">
        <v>1</v>
      </c>
      <c r="N11" s="7" t="n">
        <v>1</v>
      </c>
      <c r="O11" s="7" t="n">
        <v>0</v>
      </c>
      <c r="P11" s="7" t="n">
        <v>3</v>
      </c>
      <c r="Q11" s="10" t="n">
        <f aca="false">IF(L11=0,0,P11/L11)</f>
        <v>0.75</v>
      </c>
      <c r="R11" s="7"/>
      <c r="S11" s="7"/>
      <c r="T11" s="7"/>
      <c r="U11" s="7"/>
      <c r="V11" s="7"/>
      <c r="W11" s="7"/>
    </row>
    <row r="12" customFormat="false" ht="15" hidden="false" customHeight="false" outlineLevel="0" collapsed="false">
      <c r="A12" s="7" t="n">
        <v>4</v>
      </c>
      <c r="B12" s="8" t="n">
        <v>46458</v>
      </c>
      <c r="C12" s="9" t="s">
        <v>29</v>
      </c>
      <c r="D12" s="9" t="s">
        <v>30</v>
      </c>
      <c r="E12" s="9" t="s">
        <v>119</v>
      </c>
      <c r="F12" s="9" t="s">
        <v>32</v>
      </c>
      <c r="G12" s="9" t="s">
        <v>85</v>
      </c>
      <c r="H12" s="9" t="s">
        <v>120</v>
      </c>
      <c r="I12" s="9" t="s">
        <v>34</v>
      </c>
      <c r="J12" s="9" t="s">
        <v>35</v>
      </c>
      <c r="K12" s="9" t="s">
        <v>41</v>
      </c>
      <c r="L12" s="7" t="n">
        <v>10</v>
      </c>
      <c r="M12" s="7" t="n">
        <v>0</v>
      </c>
      <c r="N12" s="7" t="n">
        <v>0</v>
      </c>
      <c r="O12" s="7" t="n">
        <v>0</v>
      </c>
      <c r="P12" s="7" t="n">
        <v>10</v>
      </c>
      <c r="Q12" s="10" t="n">
        <f aca="false">IF(L12=0,0,P12/L12)</f>
        <v>1</v>
      </c>
      <c r="R12" s="7"/>
      <c r="S12" s="7"/>
      <c r="T12" s="7"/>
      <c r="U12" s="7"/>
      <c r="V12" s="7"/>
      <c r="W12" s="7"/>
    </row>
    <row r="13" customFormat="false" ht="15" hidden="false" customHeight="false" outlineLevel="0" collapsed="false">
      <c r="A13" s="7" t="n">
        <v>4</v>
      </c>
      <c r="B13" s="8" t="n">
        <v>46458</v>
      </c>
      <c r="C13" s="9" t="s">
        <v>29</v>
      </c>
      <c r="D13" s="9" t="s">
        <v>30</v>
      </c>
      <c r="E13" s="9" t="s">
        <v>119</v>
      </c>
      <c r="F13" s="9" t="s">
        <v>108</v>
      </c>
      <c r="G13" s="9" t="s">
        <v>85</v>
      </c>
      <c r="H13" s="9" t="s">
        <v>121</v>
      </c>
      <c r="I13" s="9" t="s">
        <v>34</v>
      </c>
      <c r="J13" s="9" t="s">
        <v>35</v>
      </c>
      <c r="K13" s="9" t="s">
        <v>41</v>
      </c>
      <c r="L13" s="7" t="n">
        <v>5</v>
      </c>
      <c r="M13" s="7" t="n">
        <v>0</v>
      </c>
      <c r="N13" s="7" t="n">
        <v>0</v>
      </c>
      <c r="O13" s="7" t="n">
        <v>0</v>
      </c>
      <c r="P13" s="7" t="n">
        <v>5</v>
      </c>
      <c r="Q13" s="10" t="n">
        <f aca="false">IF(L13=0,0,P13/L13)</f>
        <v>1</v>
      </c>
      <c r="R13" s="7"/>
      <c r="S13" s="7"/>
      <c r="T13" s="7"/>
      <c r="U13" s="7"/>
      <c r="V13" s="7"/>
      <c r="W13" s="7"/>
    </row>
    <row r="14" customFormat="false" ht="15" hidden="false" customHeight="false" outlineLevel="0" collapsed="false">
      <c r="A14" s="7" t="n">
        <v>5</v>
      </c>
      <c r="B14" s="8" t="n">
        <v>46463</v>
      </c>
      <c r="C14" s="9" t="s">
        <v>37</v>
      </c>
      <c r="D14" s="9" t="s">
        <v>30</v>
      </c>
      <c r="E14" s="9" t="s">
        <v>122</v>
      </c>
      <c r="F14" s="9" t="s">
        <v>32</v>
      </c>
      <c r="G14" s="9" t="s">
        <v>39</v>
      </c>
      <c r="H14" s="9" t="s">
        <v>123</v>
      </c>
      <c r="I14" s="9" t="s">
        <v>40</v>
      </c>
      <c r="J14" s="9" t="s">
        <v>35</v>
      </c>
      <c r="K14" s="9" t="s">
        <v>41</v>
      </c>
      <c r="L14" s="7" t="n">
        <v>14</v>
      </c>
      <c r="M14" s="7" t="n">
        <v>1</v>
      </c>
      <c r="N14" s="7" t="n">
        <v>1</v>
      </c>
      <c r="O14" s="7" t="n">
        <v>0</v>
      </c>
      <c r="P14" s="7" t="n">
        <v>13</v>
      </c>
      <c r="Q14" s="10" t="n">
        <f aca="false">IF(L14=0,0,P14/L14)</f>
        <v>0.928571428571429</v>
      </c>
      <c r="R14" s="7"/>
      <c r="S14" s="7"/>
      <c r="T14" s="7"/>
      <c r="U14" s="7"/>
      <c r="V14" s="7"/>
      <c r="W14" s="7"/>
    </row>
    <row r="15" customFormat="false" ht="15" hidden="false" customHeight="false" outlineLevel="0" collapsed="false">
      <c r="A15" s="7" t="n">
        <v>5</v>
      </c>
      <c r="B15" s="8" t="n">
        <v>46463</v>
      </c>
      <c r="C15" s="9" t="s">
        <v>37</v>
      </c>
      <c r="D15" s="9" t="s">
        <v>30</v>
      </c>
      <c r="E15" s="9" t="s">
        <v>122</v>
      </c>
      <c r="F15" s="9" t="s">
        <v>108</v>
      </c>
      <c r="G15" s="9" t="s">
        <v>44</v>
      </c>
      <c r="H15" s="9" t="s">
        <v>124</v>
      </c>
      <c r="I15" s="9" t="s">
        <v>40</v>
      </c>
      <c r="J15" s="9" t="s">
        <v>35</v>
      </c>
      <c r="K15" s="9" t="s">
        <v>41</v>
      </c>
      <c r="L15" s="7" t="n">
        <v>11</v>
      </c>
      <c r="M15" s="7" t="n">
        <v>1</v>
      </c>
      <c r="N15" s="7" t="n">
        <v>1</v>
      </c>
      <c r="O15" s="7" t="n">
        <v>0</v>
      </c>
      <c r="P15" s="7" t="n">
        <v>10</v>
      </c>
      <c r="Q15" s="10" t="n">
        <f aca="false">IF(L15=0,0,P15/L15)</f>
        <v>0.909090909090909</v>
      </c>
      <c r="R15" s="7"/>
      <c r="S15" s="7"/>
      <c r="T15" s="7"/>
      <c r="U15" s="7"/>
      <c r="V15" s="7"/>
      <c r="W15" s="7"/>
    </row>
    <row r="16" customFormat="false" ht="15" hidden="false" customHeight="false" outlineLevel="0" collapsed="false">
      <c r="A16" s="7" t="n">
        <v>6</v>
      </c>
      <c r="B16" s="8" t="n">
        <v>46465</v>
      </c>
      <c r="C16" s="9" t="s">
        <v>29</v>
      </c>
      <c r="D16" s="9" t="s">
        <v>30</v>
      </c>
      <c r="E16" s="9" t="s">
        <v>125</v>
      </c>
      <c r="F16" s="9" t="s">
        <v>32</v>
      </c>
      <c r="G16" s="9" t="s">
        <v>70</v>
      </c>
      <c r="H16" s="9" t="s">
        <v>126</v>
      </c>
      <c r="I16" s="9" t="s">
        <v>71</v>
      </c>
      <c r="J16" s="9" t="s">
        <v>35</v>
      </c>
      <c r="K16" s="9" t="s">
        <v>41</v>
      </c>
      <c r="L16" s="7" t="n">
        <v>11</v>
      </c>
      <c r="M16" s="7" t="n">
        <v>3</v>
      </c>
      <c r="N16" s="7" t="n">
        <v>3</v>
      </c>
      <c r="O16" s="7" t="n">
        <v>0</v>
      </c>
      <c r="P16" s="7" t="n">
        <v>8</v>
      </c>
      <c r="Q16" s="10" t="n">
        <f aca="false">IF(L16=0,0,P16/L16)</f>
        <v>0.727272727272727</v>
      </c>
      <c r="R16" s="7"/>
      <c r="S16" s="7"/>
      <c r="T16" s="7"/>
      <c r="U16" s="7"/>
      <c r="V16" s="7"/>
      <c r="W16" s="7"/>
    </row>
    <row r="17" customFormat="false" ht="15" hidden="false" customHeight="false" outlineLevel="0" collapsed="false">
      <c r="A17" s="7" t="n">
        <v>6</v>
      </c>
      <c r="B17" s="8" t="n">
        <v>46465</v>
      </c>
      <c r="C17" s="9" t="s">
        <v>29</v>
      </c>
      <c r="D17" s="9" t="s">
        <v>30</v>
      </c>
      <c r="E17" s="9" t="s">
        <v>125</v>
      </c>
      <c r="F17" s="9" t="s">
        <v>108</v>
      </c>
      <c r="G17" s="9" t="s">
        <v>70</v>
      </c>
      <c r="H17" s="9" t="s">
        <v>127</v>
      </c>
      <c r="I17" s="9" t="s">
        <v>71</v>
      </c>
      <c r="J17" s="9" t="s">
        <v>35</v>
      </c>
      <c r="K17" s="9" t="s">
        <v>41</v>
      </c>
      <c r="L17" s="7" t="n">
        <v>6</v>
      </c>
      <c r="M17" s="7" t="n">
        <v>0</v>
      </c>
      <c r="N17" s="7" t="n">
        <v>0</v>
      </c>
      <c r="O17" s="7" t="n">
        <v>0</v>
      </c>
      <c r="P17" s="7" t="n">
        <v>6</v>
      </c>
      <c r="Q17" s="10" t="n">
        <f aca="false">IF(L17=0,0,P17/L17)</f>
        <v>1</v>
      </c>
      <c r="R17" s="7"/>
      <c r="S17" s="7"/>
      <c r="T17" s="7"/>
      <c r="U17" s="7"/>
      <c r="V17" s="7"/>
      <c r="W17" s="7"/>
    </row>
    <row r="18" customFormat="false" ht="15" hidden="false" customHeight="false" outlineLevel="0" collapsed="false">
      <c r="A18" s="7" t="n">
        <v>7</v>
      </c>
      <c r="B18" s="8" t="n">
        <v>46470</v>
      </c>
      <c r="C18" s="9" t="s">
        <v>37</v>
      </c>
      <c r="D18" s="9" t="s">
        <v>30</v>
      </c>
      <c r="E18" s="9" t="s">
        <v>128</v>
      </c>
      <c r="F18" s="9" t="s">
        <v>32</v>
      </c>
      <c r="G18" s="9" t="s">
        <v>129</v>
      </c>
      <c r="H18" s="9" t="s">
        <v>130</v>
      </c>
      <c r="I18" s="9" t="s">
        <v>71</v>
      </c>
      <c r="J18" s="9" t="s">
        <v>35</v>
      </c>
      <c r="K18" s="9" t="s">
        <v>41</v>
      </c>
      <c r="L18" s="7" t="n">
        <v>3</v>
      </c>
      <c r="M18" s="7" t="n">
        <v>0</v>
      </c>
      <c r="N18" s="7" t="n">
        <v>0</v>
      </c>
      <c r="O18" s="7" t="n">
        <v>0</v>
      </c>
      <c r="P18" s="7" t="n">
        <v>3</v>
      </c>
      <c r="Q18" s="10" t="n">
        <f aca="false">IF(L18=0,0,P18/L18)</f>
        <v>1</v>
      </c>
      <c r="R18" s="7"/>
      <c r="S18" s="7"/>
      <c r="T18" s="7"/>
      <c r="U18" s="7"/>
      <c r="V18" s="7"/>
      <c r="W18" s="7"/>
    </row>
    <row r="19" customFormat="false" ht="15" hidden="false" customHeight="false" outlineLevel="0" collapsed="false">
      <c r="A19" s="7" t="n">
        <v>7</v>
      </c>
      <c r="B19" s="8" t="n">
        <v>46470</v>
      </c>
      <c r="C19" s="9" t="s">
        <v>37</v>
      </c>
      <c r="D19" s="9" t="s">
        <v>30</v>
      </c>
      <c r="E19" s="9" t="s">
        <v>128</v>
      </c>
      <c r="F19" s="9" t="s">
        <v>108</v>
      </c>
      <c r="G19" s="9" t="s">
        <v>129</v>
      </c>
      <c r="H19" s="9" t="s">
        <v>129</v>
      </c>
      <c r="I19" s="9" t="s">
        <v>71</v>
      </c>
      <c r="J19" s="9" t="s">
        <v>35</v>
      </c>
      <c r="K19" s="9" t="s">
        <v>41</v>
      </c>
      <c r="L19" s="7" t="n">
        <v>2</v>
      </c>
      <c r="M19" s="7" t="n">
        <v>0</v>
      </c>
      <c r="N19" s="7" t="n">
        <v>0</v>
      </c>
      <c r="O19" s="7" t="n">
        <v>0</v>
      </c>
      <c r="P19" s="7" t="n">
        <v>2</v>
      </c>
      <c r="Q19" s="10" t="n">
        <f aca="false">IF(L19=0,0,P19/L19)</f>
        <v>1</v>
      </c>
      <c r="R19" s="7"/>
      <c r="S19" s="7"/>
      <c r="T19" s="7"/>
      <c r="U19" s="7"/>
      <c r="V19" s="7"/>
      <c r="W19" s="7"/>
    </row>
    <row r="20" customFormat="false" ht="15" hidden="false" customHeight="false" outlineLevel="0" collapsed="false">
      <c r="A20" s="7" t="n">
        <v>7</v>
      </c>
      <c r="B20" s="8" t="n">
        <v>46470</v>
      </c>
      <c r="C20" s="9" t="s">
        <v>37</v>
      </c>
      <c r="D20" s="9" t="s">
        <v>30</v>
      </c>
      <c r="E20" s="9" t="s">
        <v>128</v>
      </c>
      <c r="F20" s="9" t="s">
        <v>108</v>
      </c>
      <c r="G20" s="9" t="s">
        <v>129</v>
      </c>
      <c r="H20" s="9" t="s">
        <v>131</v>
      </c>
      <c r="I20" s="9" t="s">
        <v>71</v>
      </c>
      <c r="J20" s="9" t="s">
        <v>35</v>
      </c>
      <c r="K20" s="9" t="s">
        <v>41</v>
      </c>
      <c r="L20" s="7" t="n">
        <v>1</v>
      </c>
      <c r="M20" s="7" t="n">
        <v>0</v>
      </c>
      <c r="N20" s="7" t="n">
        <v>0</v>
      </c>
      <c r="O20" s="7" t="n">
        <v>0</v>
      </c>
      <c r="P20" s="7" t="n">
        <v>1</v>
      </c>
      <c r="Q20" s="10" t="n">
        <f aca="false">IF(L20=0,0,P20/L20)</f>
        <v>1</v>
      </c>
      <c r="R20" s="7"/>
      <c r="S20" s="7"/>
      <c r="T20" s="7"/>
      <c r="U20" s="7"/>
      <c r="V20" s="7"/>
      <c r="W20" s="7"/>
    </row>
    <row r="21" customFormat="false" ht="15" hidden="false" customHeight="false" outlineLevel="0" collapsed="false">
      <c r="A21" s="7" t="n">
        <v>7</v>
      </c>
      <c r="B21" s="8" t="n">
        <v>46470</v>
      </c>
      <c r="C21" s="9" t="s">
        <v>37</v>
      </c>
      <c r="D21" s="9" t="s">
        <v>30</v>
      </c>
      <c r="E21" s="9" t="s">
        <v>128</v>
      </c>
      <c r="F21" s="9" t="s">
        <v>108</v>
      </c>
      <c r="G21" s="9" t="s">
        <v>129</v>
      </c>
      <c r="H21" s="9" t="s">
        <v>132</v>
      </c>
      <c r="I21" s="9" t="s">
        <v>71</v>
      </c>
      <c r="J21" s="9" t="s">
        <v>35</v>
      </c>
      <c r="K21" s="9" t="s">
        <v>41</v>
      </c>
      <c r="L21" s="7" t="n">
        <v>3</v>
      </c>
      <c r="M21" s="7" t="n">
        <v>1</v>
      </c>
      <c r="N21" s="7" t="n">
        <v>1</v>
      </c>
      <c r="O21" s="7" t="n">
        <v>0</v>
      </c>
      <c r="P21" s="7" t="n">
        <v>2</v>
      </c>
      <c r="Q21" s="10" t="n">
        <f aca="false">IF(L21=0,0,P21/L21)</f>
        <v>0.666666666666667</v>
      </c>
      <c r="R21" s="7"/>
      <c r="S21" s="7"/>
      <c r="T21" s="7"/>
      <c r="U21" s="7"/>
      <c r="V21" s="7"/>
      <c r="W21" s="7"/>
    </row>
    <row r="23" customFormat="false" ht="15" hidden="false" customHeight="false" outlineLevel="0" collapsed="false">
      <c r="A23" s="13" t="s">
        <v>139</v>
      </c>
    </row>
  </sheetData>
  <autoFilter ref="A1:W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2"/>
  </cols>
  <sheetData>
    <row r="1" customFormat="false" ht="23.85" hidden="false" customHeight="false" outlineLevel="0" collapsed="false">
      <c r="A1" s="1" t="s">
        <v>0</v>
      </c>
      <c r="B1" s="1" t="s">
        <v>140</v>
      </c>
      <c r="C1" s="1" t="s">
        <v>141</v>
      </c>
      <c r="D1" s="1" t="s">
        <v>142</v>
      </c>
      <c r="E1" s="1" t="s">
        <v>13</v>
      </c>
      <c r="F1" s="1" t="s">
        <v>14</v>
      </c>
      <c r="G1" s="1" t="s">
        <v>17</v>
      </c>
      <c r="H1" s="1" t="s">
        <v>18</v>
      </c>
      <c r="I1" s="1" t="s">
        <v>143</v>
      </c>
      <c r="J1" s="1" t="s">
        <v>22</v>
      </c>
      <c r="K1" s="1" t="s">
        <v>144</v>
      </c>
    </row>
    <row r="2" customFormat="false" ht="15" hidden="false" customHeight="false" outlineLevel="0" collapsed="false">
      <c r="A2" s="2" t="s">
        <v>145</v>
      </c>
      <c r="B2" s="3" t="s">
        <v>146</v>
      </c>
      <c r="C2" s="4" t="n">
        <f aca="false">SUM(C3:C5)</f>
        <v>63</v>
      </c>
      <c r="D2" s="4" t="n">
        <f aca="false">SUM(D3:D5)</f>
        <v>75</v>
      </c>
      <c r="E2" s="4" t="n">
        <f aca="false">SUM(E3:E5)</f>
        <v>3650</v>
      </c>
      <c r="F2" s="4" t="n">
        <f aca="false">SUM(F3:F5)</f>
        <v>1404</v>
      </c>
      <c r="G2" s="4" t="n">
        <f aca="false">SUM(G3:G5)</f>
        <v>2246</v>
      </c>
      <c r="H2" s="5" t="n">
        <f aca="false">IF(E2=0,0,G2/E2)</f>
        <v>0.615342465753425</v>
      </c>
      <c r="I2" s="4" t="n">
        <f aca="false">SUM(I3:I5)</f>
        <v>71</v>
      </c>
      <c r="J2" s="4" t="n">
        <f aca="false">SUM(J3:J5)</f>
        <v>22</v>
      </c>
      <c r="K2" s="4" t="n">
        <f aca="false">SUM(K3:K5)</f>
        <v>25</v>
      </c>
    </row>
    <row r="3" customFormat="false" ht="15" hidden="false" customHeight="false" outlineLevel="0" collapsed="false">
      <c r="A3" s="9" t="s">
        <v>28</v>
      </c>
      <c r="B3" s="9" t="s">
        <v>147</v>
      </c>
      <c r="C3" s="7" t="n">
        <v>23</v>
      </c>
      <c r="D3" s="7" t="n">
        <v>23</v>
      </c>
      <c r="E3" s="7" t="n">
        <f aca="false">'Phase 1 (Oct-Nov 2026)'!K2</f>
        <v>1854</v>
      </c>
      <c r="F3" s="7" t="n">
        <f aca="false">'Phase 1 (Oct-Nov 2026)'!L2</f>
        <v>588</v>
      </c>
      <c r="G3" s="7" t="n">
        <f aca="false">'Phase 1 (Oct-Nov 2026)'!O2</f>
        <v>1266</v>
      </c>
      <c r="H3" s="10" t="n">
        <f aca="false">IF(E3=0,0,G3/E3)</f>
        <v>0.682847896440129</v>
      </c>
      <c r="I3" s="7" t="n">
        <f aca="false">'Phase 1 (Oct-Nov 2026)'!U2</f>
        <v>46</v>
      </c>
      <c r="J3" s="7" t="n">
        <f aca="false">'Phase 1 (Oct-Nov 2026)'!T2</f>
        <v>17</v>
      </c>
      <c r="K3" s="7" t="n">
        <f aca="false">'Phase 1 (Oct-Nov 2026)'!V2</f>
        <v>5</v>
      </c>
    </row>
    <row r="4" customFormat="false" ht="15" hidden="false" customHeight="false" outlineLevel="0" collapsed="false">
      <c r="A4" s="9" t="s">
        <v>74</v>
      </c>
      <c r="B4" s="9" t="s">
        <v>148</v>
      </c>
      <c r="C4" s="7" t="n">
        <v>33</v>
      </c>
      <c r="D4" s="7" t="n">
        <v>33</v>
      </c>
      <c r="E4" s="7" t="n">
        <f aca="false">'Phase 2 (Jan-Mar 2027)'!K2</f>
        <v>1645</v>
      </c>
      <c r="F4" s="7" t="n">
        <f aca="false">'Phase 2 (Jan-Mar 2027)'!L2</f>
        <v>794</v>
      </c>
      <c r="G4" s="7" t="n">
        <f aca="false">'Phase 2 (Jan-Mar 2027)'!O2</f>
        <v>851</v>
      </c>
      <c r="H4" s="10" t="n">
        <f aca="false">IF(E4=0,0,G4/E4)</f>
        <v>0.517325227963526</v>
      </c>
      <c r="I4" s="7" t="n">
        <f aca="false">'Phase 2 (Jan-Mar 2027)'!U2</f>
        <v>25</v>
      </c>
      <c r="J4" s="7" t="n">
        <f aca="false">'Phase 2 (Jan-Mar 2027)'!T2</f>
        <v>5</v>
      </c>
      <c r="K4" s="7" t="n">
        <f aca="false">'Phase 2 (Jan-Mar 2027)'!V2</f>
        <v>20</v>
      </c>
    </row>
    <row r="5" customFormat="false" ht="15" hidden="false" customHeight="false" outlineLevel="0" collapsed="false">
      <c r="A5" s="9" t="s">
        <v>104</v>
      </c>
      <c r="B5" s="9" t="s">
        <v>149</v>
      </c>
      <c r="C5" s="7" t="n">
        <v>7</v>
      </c>
      <c r="D5" s="7" t="n">
        <v>19</v>
      </c>
      <c r="E5" s="7" t="n">
        <f aca="false">'Phase 3 Clusters (Mar 2027)'!L2</f>
        <v>151</v>
      </c>
      <c r="F5" s="7" t="n">
        <f aca="false">'Phase 3 Clusters (Mar 2027)'!M2</f>
        <v>22</v>
      </c>
      <c r="G5" s="7" t="n">
        <f aca="false">'Phase 3 Clusters (Mar 2027)'!P2</f>
        <v>129</v>
      </c>
      <c r="H5" s="10" t="n">
        <f aca="false">IF(E5=0,0,G5/E5)</f>
        <v>0.854304635761589</v>
      </c>
      <c r="I5" s="7" t="n">
        <f aca="false">'Phase 3 Clusters (Mar 2027)'!V2</f>
        <v>0</v>
      </c>
      <c r="J5" s="7" t="n">
        <f aca="false">'Phase 3 Clusters (Mar 2027)'!U2</f>
        <v>0</v>
      </c>
      <c r="K5" s="7" t="n">
        <f aca="false">'Phase 3 Clusters (Mar 2027)'!W2</f>
        <v>0</v>
      </c>
    </row>
    <row r="7" customFormat="false" ht="15" hidden="false" customHeight="false" outlineLevel="0" collapsed="false">
      <c r="A7" s="14" t="s">
        <v>150</v>
      </c>
    </row>
    <row r="8" customFormat="false" ht="15" hidden="false" customHeight="false" outlineLevel="0" collapsed="false">
      <c r="A8" s="13" t="s">
        <v>151</v>
      </c>
    </row>
    <row r="9" customFormat="false" ht="15" hidden="false" customHeight="false" outlineLevel="0" collapsed="false">
      <c r="A9" s="13" t="s">
        <v>152</v>
      </c>
    </row>
    <row r="10" customFormat="false" ht="15" hidden="false" customHeight="false" outlineLevel="0" collapsed="false">
      <c r="A10" s="13" t="s">
        <v>153</v>
      </c>
    </row>
    <row r="11" customFormat="false" ht="15" hidden="false" customHeight="false" outlineLevel="0" collapsed="false">
      <c r="A11" s="13" t="s">
        <v>154</v>
      </c>
    </row>
    <row r="12" customFormat="false" ht="15" hidden="false" customHeight="false" outlineLevel="0" collapsed="false">
      <c r="A12" s="13" t="s">
        <v>155</v>
      </c>
    </row>
    <row r="13" customFormat="false" ht="15" hidden="false" customHeight="false" outlineLevel="0" collapsed="false">
      <c r="A13" s="13" t="s">
        <v>156</v>
      </c>
    </row>
    <row r="14" customFormat="false" ht="15" hidden="false" customHeight="false" outlineLevel="0" collapsed="false">
      <c r="A14" s="13" t="s">
        <v>157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2026-10-08T05:46:48Z</dcterms:created>
  <dc:creator>openpyxl</dc:creator>
  <dc:description/>
  <dc:language>en-US</dc:language>
  <cp:lastModifiedBy/>
  <dcterms:modified xsi:type="dcterms:W3CDTF">2026-10-08T05:46:48Z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