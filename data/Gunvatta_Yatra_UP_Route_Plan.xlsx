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bhavishya/Downloads/"/>
    </mc:Choice>
  </mc:AlternateContent>
  <xr:revisionPtr revIDLastSave="0" documentId="13_ncr:1_{BD1ABD9C-244E-8441-ADE1-03296B12F269}" xr6:coauthVersionLast="47" xr6:coauthVersionMax="47" xr10:uidLastSave="{00000000-0000-0000-0000-000000000000}"/>
  <bookViews>
    <workbookView xWindow="0" yWindow="660" windowWidth="29400" windowHeight="18460" tabRatio="500" firstSheet="1" activeTab="2" xr2:uid="{00000000-000D-0000-FFFF-FFFF00000000}"/>
  </bookViews>
  <sheets>
    <sheet name="Summary" sheetId="1" r:id="rId1"/>
    <sheet name="UP Holidays" sheetId="2" r:id="rId2"/>
    <sheet name="Route Plan" sheetId="3" r:id="rId3"/>
    <sheet name="Friday Calendar" sheetId="4" r:id="rId4"/>
    <sheet name="Route Matrix" sheetId="5" r:id="rId5"/>
    <sheet name="Weekly Rhythm" sheetId="6" r:id="rId6"/>
    <sheet name="Notes &amp; Risks" sheetId="7" r:id="rId7"/>
  </sheets>
  <definedNames>
    <definedName name="_xlnm._FilterDatabase" localSheetId="2" hidden="1">'Route Plan'!$A$4:$Z$77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28" i="5" l="1"/>
  <c r="A27" i="5"/>
  <c r="A26" i="5"/>
  <c r="A25" i="5"/>
  <c r="A24" i="5"/>
  <c r="A23" i="5"/>
  <c r="A22" i="5"/>
  <c r="A21" i="5"/>
  <c r="A20" i="5"/>
  <c r="A19" i="5"/>
  <c r="A18" i="5"/>
  <c r="A17" i="5"/>
  <c r="A16" i="5"/>
  <c r="C15" i="5"/>
  <c r="A15" i="5"/>
  <c r="A14" i="5"/>
  <c r="A13" i="5"/>
  <c r="A12" i="5"/>
  <c r="A11" i="5"/>
  <c r="A10" i="5"/>
  <c r="A9" i="5"/>
  <c r="A8" i="5"/>
  <c r="A7" i="5"/>
  <c r="A6" i="5"/>
  <c r="A5" i="5"/>
  <c r="J28" i="4"/>
  <c r="I28" i="4"/>
  <c r="H28" i="4"/>
  <c r="G28" i="4"/>
  <c r="K28" i="4" s="1"/>
  <c r="M28" i="4" s="1"/>
  <c r="F28" i="4"/>
  <c r="E28" i="4"/>
  <c r="D28" i="4"/>
  <c r="C28" i="4"/>
  <c r="B28" i="4"/>
  <c r="J27" i="4"/>
  <c r="I27" i="4"/>
  <c r="H27" i="4"/>
  <c r="G27" i="4"/>
  <c r="K27" i="4" s="1"/>
  <c r="M27" i="4" s="1"/>
  <c r="F27" i="4"/>
  <c r="E27" i="4"/>
  <c r="D27" i="4"/>
  <c r="C27" i="4"/>
  <c r="B27" i="4"/>
  <c r="J26" i="4"/>
  <c r="I26" i="4"/>
  <c r="H26" i="4"/>
  <c r="G26" i="4"/>
  <c r="K26" i="4" s="1"/>
  <c r="M26" i="4" s="1"/>
  <c r="F26" i="4"/>
  <c r="E26" i="4"/>
  <c r="D26" i="4"/>
  <c r="C26" i="4"/>
  <c r="B26" i="4"/>
  <c r="J25" i="4"/>
  <c r="I25" i="4"/>
  <c r="H25" i="4"/>
  <c r="G25" i="4"/>
  <c r="K25" i="4" s="1"/>
  <c r="M25" i="4" s="1"/>
  <c r="F25" i="4"/>
  <c r="E25" i="4"/>
  <c r="D25" i="4"/>
  <c r="C25" i="4"/>
  <c r="B25" i="4"/>
  <c r="J24" i="4"/>
  <c r="I24" i="4"/>
  <c r="H24" i="4"/>
  <c r="G24" i="4"/>
  <c r="K24" i="4" s="1"/>
  <c r="M24" i="4" s="1"/>
  <c r="F24" i="4"/>
  <c r="E24" i="4"/>
  <c r="D24" i="4"/>
  <c r="C24" i="4"/>
  <c r="B24" i="4"/>
  <c r="J23" i="4"/>
  <c r="I23" i="4"/>
  <c r="H23" i="4"/>
  <c r="G23" i="4"/>
  <c r="K23" i="4" s="1"/>
  <c r="M23" i="4" s="1"/>
  <c r="F23" i="4"/>
  <c r="E23" i="4"/>
  <c r="D23" i="4"/>
  <c r="C23" i="4"/>
  <c r="B23" i="4"/>
  <c r="J22" i="4"/>
  <c r="I22" i="4"/>
  <c r="H22" i="4"/>
  <c r="G22" i="4"/>
  <c r="K22" i="4" s="1"/>
  <c r="M22" i="4" s="1"/>
  <c r="F22" i="4"/>
  <c r="E22" i="4"/>
  <c r="D22" i="4"/>
  <c r="C22" i="4"/>
  <c r="B22" i="4"/>
  <c r="J21" i="4"/>
  <c r="I21" i="4"/>
  <c r="H21" i="4"/>
  <c r="G21" i="4"/>
  <c r="K21" i="4" s="1"/>
  <c r="M21" i="4" s="1"/>
  <c r="F21" i="4"/>
  <c r="E21" i="4"/>
  <c r="D21" i="4"/>
  <c r="C21" i="4"/>
  <c r="B21" i="4"/>
  <c r="J20" i="4"/>
  <c r="I20" i="4"/>
  <c r="H20" i="4"/>
  <c r="G20" i="4"/>
  <c r="K20" i="4" s="1"/>
  <c r="M20" i="4" s="1"/>
  <c r="F20" i="4"/>
  <c r="E20" i="4"/>
  <c r="D20" i="4"/>
  <c r="C20" i="4"/>
  <c r="B20" i="4"/>
  <c r="J19" i="4"/>
  <c r="I19" i="4"/>
  <c r="H19" i="4"/>
  <c r="G19" i="4"/>
  <c r="K19" i="4" s="1"/>
  <c r="M19" i="4" s="1"/>
  <c r="F19" i="4"/>
  <c r="E19" i="4"/>
  <c r="D19" i="4"/>
  <c r="C19" i="4"/>
  <c r="B19" i="4"/>
  <c r="J18" i="4"/>
  <c r="K18" i="4" s="1"/>
  <c r="M18" i="4" s="1"/>
  <c r="I18" i="4"/>
  <c r="H18" i="4"/>
  <c r="G18" i="4"/>
  <c r="F18" i="4"/>
  <c r="E18" i="4"/>
  <c r="D18" i="4"/>
  <c r="C18" i="4"/>
  <c r="B18" i="4"/>
  <c r="J17" i="4"/>
  <c r="I17" i="4"/>
  <c r="H17" i="4"/>
  <c r="G17" i="4"/>
  <c r="K17" i="4" s="1"/>
  <c r="M17" i="4" s="1"/>
  <c r="F17" i="4"/>
  <c r="E17" i="4"/>
  <c r="D17" i="4"/>
  <c r="C17" i="4"/>
  <c r="B17" i="4"/>
  <c r="J16" i="4"/>
  <c r="I16" i="4"/>
  <c r="H16" i="4"/>
  <c r="G16" i="4"/>
  <c r="K16" i="4" s="1"/>
  <c r="M16" i="4" s="1"/>
  <c r="F16" i="4"/>
  <c r="E16" i="4"/>
  <c r="D16" i="4"/>
  <c r="C16" i="4"/>
  <c r="B16" i="4"/>
  <c r="M15" i="4"/>
  <c r="N15" i="4" s="1"/>
  <c r="B15" i="5" s="1"/>
  <c r="J15" i="4"/>
  <c r="I15" i="4"/>
  <c r="H15" i="4"/>
  <c r="G15" i="4"/>
  <c r="K15" i="4" s="1"/>
  <c r="F15" i="4"/>
  <c r="E15" i="4"/>
  <c r="D15" i="4"/>
  <c r="C15" i="4"/>
  <c r="B15" i="4"/>
  <c r="J14" i="4"/>
  <c r="I14" i="4"/>
  <c r="H14" i="4"/>
  <c r="G14" i="4"/>
  <c r="K14" i="4" s="1"/>
  <c r="M14" i="4" s="1"/>
  <c r="F14" i="4"/>
  <c r="E14" i="4"/>
  <c r="D14" i="4"/>
  <c r="C14" i="4"/>
  <c r="B14" i="4"/>
  <c r="J13" i="4"/>
  <c r="I13" i="4"/>
  <c r="H13" i="4"/>
  <c r="G13" i="4"/>
  <c r="K13" i="4" s="1"/>
  <c r="M13" i="4" s="1"/>
  <c r="F13" i="4"/>
  <c r="E13" i="4"/>
  <c r="D13" i="4"/>
  <c r="C13" i="4"/>
  <c r="B13" i="4"/>
  <c r="J12" i="4"/>
  <c r="I12" i="4"/>
  <c r="H12" i="4"/>
  <c r="G12" i="4"/>
  <c r="K12" i="4" s="1"/>
  <c r="M12" i="4" s="1"/>
  <c r="F12" i="4"/>
  <c r="E12" i="4"/>
  <c r="D12" i="4"/>
  <c r="C12" i="4"/>
  <c r="B12" i="4"/>
  <c r="J11" i="4"/>
  <c r="I11" i="4"/>
  <c r="H11" i="4"/>
  <c r="G11" i="4"/>
  <c r="K11" i="4" s="1"/>
  <c r="M11" i="4" s="1"/>
  <c r="F11" i="4"/>
  <c r="E11" i="4"/>
  <c r="D11" i="4"/>
  <c r="C11" i="4"/>
  <c r="B11" i="4"/>
  <c r="J10" i="4"/>
  <c r="I10" i="4"/>
  <c r="H10" i="4"/>
  <c r="G10" i="4"/>
  <c r="K10" i="4" s="1"/>
  <c r="M10" i="4" s="1"/>
  <c r="F10" i="4"/>
  <c r="E10" i="4"/>
  <c r="D10" i="4"/>
  <c r="C10" i="4"/>
  <c r="B10" i="4"/>
  <c r="J9" i="4"/>
  <c r="I9" i="4"/>
  <c r="H9" i="4"/>
  <c r="G9" i="4"/>
  <c r="K9" i="4" s="1"/>
  <c r="M9" i="4" s="1"/>
  <c r="F9" i="4"/>
  <c r="E9" i="4"/>
  <c r="D9" i="4"/>
  <c r="C9" i="4"/>
  <c r="B9" i="4"/>
  <c r="J8" i="4"/>
  <c r="I8" i="4"/>
  <c r="H8" i="4"/>
  <c r="G8" i="4"/>
  <c r="K8" i="4" s="1"/>
  <c r="M8" i="4" s="1"/>
  <c r="F8" i="4"/>
  <c r="E8" i="4"/>
  <c r="D8" i="4"/>
  <c r="C8" i="4"/>
  <c r="B8" i="4"/>
  <c r="J7" i="4"/>
  <c r="I7" i="4"/>
  <c r="H7" i="4"/>
  <c r="G7" i="4"/>
  <c r="K7" i="4" s="1"/>
  <c r="M7" i="4" s="1"/>
  <c r="F7" i="4"/>
  <c r="E7" i="4"/>
  <c r="D7" i="4"/>
  <c r="C7" i="4"/>
  <c r="B7" i="4"/>
  <c r="J6" i="4"/>
  <c r="I6" i="4"/>
  <c r="H6" i="4"/>
  <c r="G6" i="4"/>
  <c r="K6" i="4" s="1"/>
  <c r="M6" i="4" s="1"/>
  <c r="F6" i="4"/>
  <c r="E6" i="4"/>
  <c r="D6" i="4"/>
  <c r="C6" i="4"/>
  <c r="B6" i="4"/>
  <c r="J5" i="4"/>
  <c r="I5" i="4"/>
  <c r="H5" i="4"/>
  <c r="G5" i="4"/>
  <c r="K5" i="4" s="1"/>
  <c r="M5" i="4" s="1"/>
  <c r="F5" i="4"/>
  <c r="E5" i="4"/>
  <c r="D5" i="4"/>
  <c r="C5" i="4"/>
  <c r="B5" i="4"/>
  <c r="J79" i="3"/>
  <c r="I79" i="3"/>
  <c r="Y77" i="3"/>
  <c r="Z77" i="3" s="1"/>
  <c r="L77" i="3"/>
  <c r="K77" i="3"/>
  <c r="Y76" i="3"/>
  <c r="Z76" i="3" s="1"/>
  <c r="L76" i="3"/>
  <c r="K76" i="3"/>
  <c r="Y75" i="3"/>
  <c r="L75" i="3"/>
  <c r="K75" i="3"/>
  <c r="Y74" i="3"/>
  <c r="L74" i="3"/>
  <c r="K74" i="3"/>
  <c r="Y73" i="3"/>
  <c r="Z73" i="3" s="1"/>
  <c r="L73" i="3"/>
  <c r="K73" i="3"/>
  <c r="Y72" i="3"/>
  <c r="Z72" i="3" s="1"/>
  <c r="L72" i="3"/>
  <c r="K72" i="3"/>
  <c r="Y71" i="3"/>
  <c r="Z71" i="3" s="1"/>
  <c r="L71" i="3"/>
  <c r="K71" i="3"/>
  <c r="Y70" i="3"/>
  <c r="Z70" i="3" s="1"/>
  <c r="L70" i="3"/>
  <c r="K70" i="3"/>
  <c r="Y69" i="3"/>
  <c r="L69" i="3"/>
  <c r="K69" i="3"/>
  <c r="Y68" i="3"/>
  <c r="Z68" i="3" s="1"/>
  <c r="L68" i="3"/>
  <c r="K68" i="3"/>
  <c r="Y67" i="3"/>
  <c r="Z67" i="3" s="1"/>
  <c r="L67" i="3"/>
  <c r="K67" i="3"/>
  <c r="Y66" i="3"/>
  <c r="Z66" i="3" s="1"/>
  <c r="L66" i="3"/>
  <c r="K66" i="3"/>
  <c r="Y65" i="3"/>
  <c r="Z65" i="3" s="1"/>
  <c r="L65" i="3"/>
  <c r="K65" i="3"/>
  <c r="Y64" i="3"/>
  <c r="Z64" i="3" s="1"/>
  <c r="L64" i="3"/>
  <c r="K64" i="3"/>
  <c r="Y63" i="3"/>
  <c r="L63" i="3"/>
  <c r="K63" i="3"/>
  <c r="Y62" i="3"/>
  <c r="Z62" i="3" s="1"/>
  <c r="L62" i="3"/>
  <c r="K62" i="3"/>
  <c r="Y61" i="3"/>
  <c r="Z61" i="3" s="1"/>
  <c r="L61" i="3"/>
  <c r="K61" i="3"/>
  <c r="Y60" i="3"/>
  <c r="Z60" i="3" s="1"/>
  <c r="L60" i="3"/>
  <c r="K60" i="3"/>
  <c r="Y59" i="3"/>
  <c r="Z59" i="3" s="1"/>
  <c r="L59" i="3"/>
  <c r="K59" i="3"/>
  <c r="Y58" i="3"/>
  <c r="L58" i="3"/>
  <c r="K58" i="3"/>
  <c r="Y57" i="3"/>
  <c r="Z57" i="3" s="1"/>
  <c r="L57" i="3"/>
  <c r="K57" i="3"/>
  <c r="Y56" i="3"/>
  <c r="Z56" i="3" s="1"/>
  <c r="L56" i="3"/>
  <c r="K56" i="3"/>
  <c r="Y55" i="3"/>
  <c r="Z55" i="3" s="1"/>
  <c r="L55" i="3"/>
  <c r="K55" i="3"/>
  <c r="Y54" i="3"/>
  <c r="Z54" i="3" s="1"/>
  <c r="L54" i="3"/>
  <c r="K54" i="3"/>
  <c r="Y53" i="3"/>
  <c r="Z53" i="3" s="1"/>
  <c r="L53" i="3"/>
  <c r="K53" i="3"/>
  <c r="Y52" i="3"/>
  <c r="Z52" i="3" s="1"/>
  <c r="L52" i="3"/>
  <c r="K52" i="3"/>
  <c r="Y51" i="3"/>
  <c r="Z51" i="3" s="1"/>
  <c r="L51" i="3"/>
  <c r="K51" i="3"/>
  <c r="Y50" i="3"/>
  <c r="Z50" i="3" s="1"/>
  <c r="L50" i="3"/>
  <c r="K50" i="3"/>
  <c r="Y49" i="3"/>
  <c r="Z49" i="3" s="1"/>
  <c r="L49" i="3"/>
  <c r="K49" i="3"/>
  <c r="Y48" i="3"/>
  <c r="Z48" i="3" s="1"/>
  <c r="L48" i="3"/>
  <c r="K48" i="3"/>
  <c r="Y47" i="3"/>
  <c r="Z47" i="3" s="1"/>
  <c r="L47" i="3"/>
  <c r="K47" i="3"/>
  <c r="Y46" i="3"/>
  <c r="L46" i="3"/>
  <c r="K46" i="3"/>
  <c r="Y45" i="3"/>
  <c r="Z45" i="3" s="1"/>
  <c r="L45" i="3"/>
  <c r="K45" i="3"/>
  <c r="Y44" i="3"/>
  <c r="Z44" i="3" s="1"/>
  <c r="L44" i="3"/>
  <c r="K44" i="3"/>
  <c r="Y43" i="3"/>
  <c r="Z43" i="3" s="1"/>
  <c r="L43" i="3"/>
  <c r="K43" i="3"/>
  <c r="Y42" i="3"/>
  <c r="Z42" i="3" s="1"/>
  <c r="L42" i="3"/>
  <c r="K42" i="3"/>
  <c r="Y41" i="3"/>
  <c r="Z41" i="3" s="1"/>
  <c r="L41" i="3"/>
  <c r="K41" i="3"/>
  <c r="Y40" i="3"/>
  <c r="Z40" i="3" s="1"/>
  <c r="L40" i="3"/>
  <c r="K40" i="3"/>
  <c r="Y39" i="3"/>
  <c r="Z39" i="3" s="1"/>
  <c r="L39" i="3"/>
  <c r="K39" i="3"/>
  <c r="Y38" i="3"/>
  <c r="Z38" i="3" s="1"/>
  <c r="L38" i="3"/>
  <c r="K38" i="3"/>
  <c r="Y37" i="3"/>
  <c r="L37" i="3"/>
  <c r="K37" i="3"/>
  <c r="Y36" i="3"/>
  <c r="Z36" i="3" s="1"/>
  <c r="L36" i="3"/>
  <c r="K36" i="3"/>
  <c r="Y35" i="3"/>
  <c r="Z35" i="3" s="1"/>
  <c r="L35" i="3"/>
  <c r="K35" i="3"/>
  <c r="Y34" i="3"/>
  <c r="Z34" i="3" s="1"/>
  <c r="L34" i="3"/>
  <c r="K34" i="3"/>
  <c r="Y33" i="3"/>
  <c r="Z33" i="3" s="1"/>
  <c r="L33" i="3"/>
  <c r="K33" i="3"/>
  <c r="Y32" i="3"/>
  <c r="Z32" i="3" s="1"/>
  <c r="L32" i="3"/>
  <c r="K32" i="3"/>
  <c r="Y31" i="3"/>
  <c r="Z31" i="3" s="1"/>
  <c r="L31" i="3"/>
  <c r="K31" i="3"/>
  <c r="Y30" i="3"/>
  <c r="Z30" i="3" s="1"/>
  <c r="L30" i="3"/>
  <c r="K30" i="3"/>
  <c r="Y29" i="3"/>
  <c r="Z29" i="3" s="1"/>
  <c r="L29" i="3"/>
  <c r="K29" i="3"/>
  <c r="Y28" i="3"/>
  <c r="Z28" i="3" s="1"/>
  <c r="L28" i="3"/>
  <c r="K28" i="3"/>
  <c r="Y27" i="3"/>
  <c r="Z27" i="3" s="1"/>
  <c r="L27" i="3"/>
  <c r="K27" i="3"/>
  <c r="Y26" i="3"/>
  <c r="Z26" i="3" s="1"/>
  <c r="L26" i="3"/>
  <c r="K26" i="3"/>
  <c r="Y25" i="3"/>
  <c r="Z25" i="3" s="1"/>
  <c r="L25" i="3"/>
  <c r="K25" i="3"/>
  <c r="Y24" i="3"/>
  <c r="Z24" i="3" s="1"/>
  <c r="L24" i="3"/>
  <c r="K24" i="3"/>
  <c r="Y23" i="3"/>
  <c r="Z23" i="3" s="1"/>
  <c r="L23" i="3"/>
  <c r="K23" i="3"/>
  <c r="Y22" i="3"/>
  <c r="Z22" i="3" s="1"/>
  <c r="L22" i="3"/>
  <c r="K22" i="3"/>
  <c r="Y21" i="3"/>
  <c r="Z21" i="3" s="1"/>
  <c r="L21" i="3"/>
  <c r="K21" i="3"/>
  <c r="Y20" i="3"/>
  <c r="Z20" i="3" s="1"/>
  <c r="L20" i="3"/>
  <c r="K20" i="3"/>
  <c r="Y19" i="3"/>
  <c r="Z19" i="3" s="1"/>
  <c r="L19" i="3"/>
  <c r="K19" i="3"/>
  <c r="Y18" i="3"/>
  <c r="Z18" i="3" s="1"/>
  <c r="L18" i="3"/>
  <c r="K18" i="3"/>
  <c r="Y17" i="3"/>
  <c r="Z17" i="3" s="1"/>
  <c r="L17" i="3"/>
  <c r="K17" i="3"/>
  <c r="Y16" i="3"/>
  <c r="Z16" i="3" s="1"/>
  <c r="L16" i="3"/>
  <c r="K16" i="3"/>
  <c r="Y15" i="3"/>
  <c r="Z15" i="3" s="1"/>
  <c r="L15" i="3"/>
  <c r="K15" i="3"/>
  <c r="Y14" i="3"/>
  <c r="Z14" i="3" s="1"/>
  <c r="L14" i="3"/>
  <c r="K14" i="3"/>
  <c r="Y13" i="3"/>
  <c r="Z13" i="3" s="1"/>
  <c r="L13" i="3"/>
  <c r="K13" i="3"/>
  <c r="Y12" i="3"/>
  <c r="Z12" i="3" s="1"/>
  <c r="L12" i="3"/>
  <c r="K12" i="3"/>
  <c r="Y11" i="3"/>
  <c r="Z11" i="3" s="1"/>
  <c r="L11" i="3"/>
  <c r="K11" i="3"/>
  <c r="Y10" i="3"/>
  <c r="Z10" i="3" s="1"/>
  <c r="L10" i="3"/>
  <c r="K10" i="3"/>
  <c r="Y9" i="3"/>
  <c r="Z9" i="3" s="1"/>
  <c r="L9" i="3"/>
  <c r="K9" i="3"/>
  <c r="Y8" i="3"/>
  <c r="Z8" i="3" s="1"/>
  <c r="L8" i="3"/>
  <c r="K8" i="3"/>
  <c r="Y7" i="3"/>
  <c r="Z7" i="3" s="1"/>
  <c r="L7" i="3"/>
  <c r="K7" i="3"/>
  <c r="Y6" i="3"/>
  <c r="Z6" i="3" s="1"/>
  <c r="L6" i="3"/>
  <c r="K6" i="3"/>
  <c r="Y5" i="3"/>
  <c r="L5" i="3"/>
  <c r="K5" i="3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G19" i="1"/>
  <c r="F19" i="1"/>
  <c r="E19" i="1"/>
  <c r="D19" i="1"/>
  <c r="C19" i="1"/>
  <c r="B19" i="1"/>
  <c r="G18" i="1"/>
  <c r="F18" i="1"/>
  <c r="E18" i="1"/>
  <c r="D18" i="1"/>
  <c r="C18" i="1"/>
  <c r="B18" i="1"/>
  <c r="G17" i="1"/>
  <c r="F17" i="1"/>
  <c r="E17" i="1"/>
  <c r="D17" i="1"/>
  <c r="C17" i="1"/>
  <c r="B17" i="1"/>
  <c r="G16" i="1"/>
  <c r="F16" i="1"/>
  <c r="E16" i="1"/>
  <c r="D16" i="1"/>
  <c r="C16" i="1"/>
  <c r="B16" i="1"/>
  <c r="G15" i="1"/>
  <c r="F15" i="1"/>
  <c r="E15" i="1"/>
  <c r="E20" i="1" s="1"/>
  <c r="D15" i="1"/>
  <c r="C15" i="1"/>
  <c r="B15" i="1"/>
  <c r="H9" i="1"/>
  <c r="G9" i="1"/>
  <c r="F9" i="1"/>
  <c r="E9" i="1"/>
  <c r="J8" i="1"/>
  <c r="I8" i="1"/>
  <c r="H8" i="1"/>
  <c r="G8" i="1"/>
  <c r="F8" i="1"/>
  <c r="E8" i="1"/>
  <c r="J7" i="1"/>
  <c r="I7" i="1"/>
  <c r="H7" i="1"/>
  <c r="G7" i="1"/>
  <c r="F7" i="1"/>
  <c r="E7" i="1"/>
  <c r="J6" i="1"/>
  <c r="I6" i="1"/>
  <c r="H6" i="1"/>
  <c r="G6" i="1"/>
  <c r="F6" i="1"/>
  <c r="E6" i="1"/>
  <c r="J5" i="1"/>
  <c r="I5" i="1"/>
  <c r="H5" i="1"/>
  <c r="G5" i="1"/>
  <c r="F5" i="1"/>
  <c r="E5" i="1"/>
  <c r="H16" i="1" l="1"/>
  <c r="H10" i="1"/>
  <c r="O18" i="4"/>
  <c r="P18" i="4" s="1"/>
  <c r="H19" i="1"/>
  <c r="G10" i="1"/>
  <c r="J10" i="1"/>
  <c r="C20" i="1"/>
  <c r="O19" i="4"/>
  <c r="P19" i="4" s="1"/>
  <c r="D20" i="1"/>
  <c r="H18" i="1"/>
  <c r="O20" i="4"/>
  <c r="P20" i="4" s="1"/>
  <c r="O27" i="4"/>
  <c r="P27" i="4" s="1"/>
  <c r="E10" i="1"/>
  <c r="F20" i="1"/>
  <c r="H17" i="1"/>
  <c r="F10" i="1"/>
  <c r="F11" i="1" s="1"/>
  <c r="G20" i="1"/>
  <c r="N28" i="4"/>
  <c r="B28" i="5" s="1"/>
  <c r="C28" i="5"/>
  <c r="N27" i="4"/>
  <c r="B27" i="5" s="1"/>
  <c r="C27" i="5"/>
  <c r="O23" i="3"/>
  <c r="O41" i="3"/>
  <c r="O59" i="3"/>
  <c r="O77" i="3"/>
  <c r="N26" i="4"/>
  <c r="B26" i="5" s="1"/>
  <c r="C26" i="5"/>
  <c r="O22" i="3"/>
  <c r="O40" i="3"/>
  <c r="O76" i="3"/>
  <c r="N25" i="4"/>
  <c r="B25" i="5" s="1"/>
  <c r="C25" i="5"/>
  <c r="O21" i="3"/>
  <c r="O39" i="3"/>
  <c r="O57" i="3"/>
  <c r="N24" i="4"/>
  <c r="B24" i="5" s="1"/>
  <c r="C24" i="5"/>
  <c r="O20" i="3"/>
  <c r="O38" i="3"/>
  <c r="O56" i="3"/>
  <c r="N23" i="4"/>
  <c r="B23" i="5" s="1"/>
  <c r="C23" i="5"/>
  <c r="O19" i="3"/>
  <c r="O73" i="3"/>
  <c r="O37" i="3"/>
  <c r="O55" i="3"/>
  <c r="N22" i="4"/>
  <c r="B22" i="5" s="1"/>
  <c r="C22" i="5"/>
  <c r="O18" i="3"/>
  <c r="O36" i="3"/>
  <c r="O54" i="3"/>
  <c r="O72" i="3"/>
  <c r="N21" i="4"/>
  <c r="B21" i="5" s="1"/>
  <c r="C21" i="5"/>
  <c r="O17" i="3"/>
  <c r="O35" i="3"/>
  <c r="O71" i="3"/>
  <c r="O53" i="3"/>
  <c r="N20" i="4"/>
  <c r="B20" i="5" s="1"/>
  <c r="C20" i="5"/>
  <c r="O16" i="3"/>
  <c r="O34" i="3"/>
  <c r="O70" i="3"/>
  <c r="O52" i="3"/>
  <c r="N19" i="4"/>
  <c r="B19" i="5" s="1"/>
  <c r="C19" i="5"/>
  <c r="O15" i="3"/>
  <c r="O33" i="3"/>
  <c r="O51" i="3"/>
  <c r="N18" i="4"/>
  <c r="B18" i="5" s="1"/>
  <c r="C18" i="5"/>
  <c r="O14" i="3"/>
  <c r="O32" i="3"/>
  <c r="O68" i="3"/>
  <c r="O50" i="3"/>
  <c r="N17" i="4"/>
  <c r="B17" i="5" s="1"/>
  <c r="C17" i="5"/>
  <c r="O13" i="3"/>
  <c r="O31" i="3"/>
  <c r="O49" i="3"/>
  <c r="O67" i="3"/>
  <c r="N16" i="4"/>
  <c r="B16" i="5" s="1"/>
  <c r="C16" i="5"/>
  <c r="O12" i="3"/>
  <c r="O30" i="3"/>
  <c r="O48" i="3"/>
  <c r="O66" i="3"/>
  <c r="N14" i="4"/>
  <c r="B14" i="5" s="1"/>
  <c r="C14" i="5"/>
  <c r="N13" i="4"/>
  <c r="B13" i="5" s="1"/>
  <c r="C13" i="5"/>
  <c r="O11" i="3"/>
  <c r="O29" i="3"/>
  <c r="O47" i="3"/>
  <c r="O65" i="3"/>
  <c r="N12" i="4"/>
  <c r="B12" i="5" s="1"/>
  <c r="C12" i="5"/>
  <c r="O10" i="3"/>
  <c r="O28" i="3"/>
  <c r="O64" i="3"/>
  <c r="N11" i="4"/>
  <c r="B11" i="5" s="1"/>
  <c r="C11" i="5"/>
  <c r="O9" i="3"/>
  <c r="O27" i="3"/>
  <c r="O45" i="3"/>
  <c r="N10" i="4"/>
  <c r="B10" i="5" s="1"/>
  <c r="C10" i="5"/>
  <c r="O8" i="3"/>
  <c r="O26" i="3"/>
  <c r="O62" i="3"/>
  <c r="O44" i="3"/>
  <c r="N9" i="4"/>
  <c r="B9" i="5" s="1"/>
  <c r="C9" i="5"/>
  <c r="O7" i="3"/>
  <c r="O25" i="3"/>
  <c r="O43" i="3"/>
  <c r="O61" i="3"/>
  <c r="N8" i="4"/>
  <c r="B8" i="5" s="1"/>
  <c r="C8" i="5"/>
  <c r="N7" i="4"/>
  <c r="B7" i="5" s="1"/>
  <c r="C7" i="5"/>
  <c r="N6" i="4"/>
  <c r="B6" i="5" s="1"/>
  <c r="C6" i="5"/>
  <c r="O6" i="3"/>
  <c r="O24" i="3"/>
  <c r="O42" i="3"/>
  <c r="O60" i="3"/>
  <c r="N5" i="4"/>
  <c r="B5" i="5" s="1"/>
  <c r="C5" i="5"/>
  <c r="O5" i="3"/>
  <c r="O75" i="3"/>
  <c r="Z75" i="3"/>
  <c r="O74" i="3"/>
  <c r="Z74" i="3"/>
  <c r="Z69" i="3"/>
  <c r="O69" i="3"/>
  <c r="O63" i="3"/>
  <c r="Z63" i="3"/>
  <c r="O58" i="3"/>
  <c r="Z58" i="3"/>
  <c r="O46" i="3"/>
  <c r="Z46" i="3"/>
  <c r="O22" i="4"/>
  <c r="P22" i="4" s="1"/>
  <c r="O23" i="4"/>
  <c r="P23" i="4" s="1"/>
  <c r="O26" i="4"/>
  <c r="P26" i="4" s="1"/>
  <c r="O10" i="4"/>
  <c r="P10" i="4" s="1"/>
  <c r="O21" i="4"/>
  <c r="P21" i="4" s="1"/>
  <c r="O5" i="4"/>
  <c r="O24" i="4"/>
  <c r="P24" i="4" s="1"/>
  <c r="Z37" i="3"/>
  <c r="O9" i="4"/>
  <c r="P9" i="4" s="1"/>
  <c r="O25" i="4"/>
  <c r="P25" i="4" s="1"/>
  <c r="O17" i="4"/>
  <c r="P17" i="4" s="1"/>
  <c r="O11" i="4"/>
  <c r="P11" i="4" s="1"/>
  <c r="O16" i="4"/>
  <c r="P16" i="4" s="1"/>
  <c r="O13" i="4"/>
  <c r="P13" i="4" s="1"/>
  <c r="O6" i="4"/>
  <c r="P6" i="4" s="1"/>
  <c r="O7" i="4"/>
  <c r="P7" i="4" s="1"/>
  <c r="O8" i="4"/>
  <c r="P8" i="4" s="1"/>
  <c r="O12" i="4"/>
  <c r="P12" i="4" s="1"/>
  <c r="O28" i="4"/>
  <c r="P28" i="4" s="1"/>
  <c r="O14" i="4"/>
  <c r="P14" i="4" s="1"/>
  <c r="O15" i="4"/>
  <c r="P15" i="4" s="1"/>
  <c r="Z5" i="3"/>
  <c r="G28" i="5" s="1"/>
  <c r="B20" i="1"/>
  <c r="H15" i="1"/>
  <c r="H20" i="1" s="1"/>
  <c r="F22" i="5" l="1"/>
  <c r="D24" i="5"/>
  <c r="G25" i="5"/>
  <c r="E27" i="5"/>
  <c r="H28" i="5"/>
  <c r="G22" i="5"/>
  <c r="E24" i="5"/>
  <c r="H25" i="5"/>
  <c r="F27" i="5"/>
  <c r="H22" i="5"/>
  <c r="F24" i="5"/>
  <c r="D26" i="5"/>
  <c r="G27" i="5"/>
  <c r="D23" i="5"/>
  <c r="G24" i="5"/>
  <c r="E26" i="5"/>
  <c r="H27" i="5"/>
  <c r="E23" i="5"/>
  <c r="H24" i="5"/>
  <c r="F26" i="5"/>
  <c r="D28" i="5"/>
  <c r="F23" i="5"/>
  <c r="D25" i="5"/>
  <c r="G26" i="5"/>
  <c r="E28" i="5"/>
  <c r="G23" i="5"/>
  <c r="E25" i="5"/>
  <c r="H26" i="5"/>
  <c r="F28" i="5"/>
  <c r="H23" i="5"/>
  <c r="F25" i="5"/>
  <c r="D27" i="5"/>
  <c r="P5" i="4"/>
  <c r="P29" i="4" s="1"/>
  <c r="O29" i="4"/>
  <c r="E16" i="5"/>
  <c r="E22" i="5"/>
  <c r="D22" i="5"/>
  <c r="I22" i="5" s="1"/>
  <c r="J22" i="5" s="1"/>
  <c r="H21" i="5"/>
  <c r="G21" i="5"/>
  <c r="F21" i="5"/>
  <c r="E21" i="5"/>
  <c r="D21" i="5"/>
  <c r="H20" i="5"/>
  <c r="G20" i="5"/>
  <c r="F20" i="5"/>
  <c r="E20" i="5"/>
  <c r="D20" i="5"/>
  <c r="H19" i="5"/>
  <c r="G19" i="5"/>
  <c r="F19" i="5"/>
  <c r="E19" i="5"/>
  <c r="D19" i="5"/>
  <c r="I19" i="5" s="1"/>
  <c r="J19" i="5" s="1"/>
  <c r="H18" i="5"/>
  <c r="G18" i="5"/>
  <c r="F18" i="5"/>
  <c r="E18" i="5"/>
  <c r="D18" i="5"/>
  <c r="H17" i="5"/>
  <c r="G17" i="5"/>
  <c r="F17" i="5"/>
  <c r="E17" i="5"/>
  <c r="D17" i="5"/>
  <c r="H16" i="5"/>
  <c r="G16" i="5"/>
  <c r="F16" i="5"/>
  <c r="D16" i="5"/>
  <c r="H15" i="5"/>
  <c r="G15" i="5"/>
  <c r="F15" i="5"/>
  <c r="E15" i="5"/>
  <c r="D15" i="5"/>
  <c r="H14" i="5"/>
  <c r="G14" i="5"/>
  <c r="F14" i="5"/>
  <c r="E14" i="5"/>
  <c r="D14" i="5"/>
  <c r="I14" i="5" s="1"/>
  <c r="J14" i="5" s="1"/>
  <c r="H13" i="5"/>
  <c r="G13" i="5"/>
  <c r="F13" i="5"/>
  <c r="E13" i="5"/>
  <c r="D13" i="5"/>
  <c r="H12" i="5"/>
  <c r="G12" i="5"/>
  <c r="F12" i="5"/>
  <c r="E12" i="5"/>
  <c r="D12" i="5"/>
  <c r="H11" i="5"/>
  <c r="G11" i="5"/>
  <c r="F11" i="5"/>
  <c r="E11" i="5"/>
  <c r="D11" i="5"/>
  <c r="H10" i="5"/>
  <c r="G10" i="5"/>
  <c r="F10" i="5"/>
  <c r="E10" i="5"/>
  <c r="D10" i="5"/>
  <c r="H9" i="5"/>
  <c r="G9" i="5"/>
  <c r="F9" i="5"/>
  <c r="E9" i="5"/>
  <c r="D9" i="5"/>
  <c r="I9" i="5" s="1"/>
  <c r="J9" i="5" s="1"/>
  <c r="H8" i="5"/>
  <c r="G8" i="5"/>
  <c r="F8" i="5"/>
  <c r="E8" i="5"/>
  <c r="D8" i="5"/>
  <c r="H7" i="5"/>
  <c r="G7" i="5"/>
  <c r="F7" i="5"/>
  <c r="E7" i="5"/>
  <c r="D7" i="5"/>
  <c r="H6" i="5"/>
  <c r="G6" i="5"/>
  <c r="F6" i="5"/>
  <c r="E6" i="5"/>
  <c r="D6" i="5"/>
  <c r="I6" i="5" s="1"/>
  <c r="J6" i="5" s="1"/>
  <c r="H5" i="5"/>
  <c r="G5" i="5"/>
  <c r="F5" i="5"/>
  <c r="E5" i="5"/>
  <c r="D5" i="5"/>
  <c r="I23" i="5" l="1"/>
  <c r="J23" i="5" s="1"/>
  <c r="I28" i="5"/>
  <c r="J28" i="5" s="1"/>
  <c r="I8" i="5"/>
  <c r="J8" i="5" s="1"/>
  <c r="I21" i="5"/>
  <c r="J21" i="5" s="1"/>
  <c r="I12" i="5"/>
  <c r="J12" i="5" s="1"/>
  <c r="I17" i="5"/>
  <c r="J17" i="5" s="1"/>
  <c r="I27" i="5"/>
  <c r="J27" i="5" s="1"/>
  <c r="I25" i="5"/>
  <c r="J25" i="5" s="1"/>
  <c r="I16" i="5"/>
  <c r="J16" i="5" s="1"/>
  <c r="I26" i="5"/>
  <c r="J26" i="5" s="1"/>
  <c r="I13" i="5"/>
  <c r="J13" i="5" s="1"/>
  <c r="I18" i="5"/>
  <c r="J18" i="5" s="1"/>
  <c r="I10" i="5"/>
  <c r="J10" i="5" s="1"/>
  <c r="I24" i="5"/>
  <c r="J24" i="5" s="1"/>
  <c r="I7" i="5"/>
  <c r="J7" i="5" s="1"/>
  <c r="I15" i="5"/>
  <c r="J15" i="5" s="1"/>
  <c r="I20" i="5"/>
  <c r="J20" i="5" s="1"/>
  <c r="D29" i="5"/>
  <c r="I5" i="5"/>
  <c r="H29" i="5"/>
  <c r="G29" i="5"/>
  <c r="F29" i="5"/>
  <c r="E29" i="5"/>
  <c r="I11" i="5"/>
  <c r="J11" i="5" s="1"/>
  <c r="J5" i="5" l="1"/>
  <c r="J29" i="5" s="1"/>
  <c r="I2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N4" authorId="0" shapeId="0" xr:uid="{00000000-0006-0000-0200-000001000000}">
      <text>
        <r>
          <rPr>
            <sz val="10"/>
            <rFont val="Arial"/>
            <family val="2"/>
          </rPr>
          <t>Approximate road distance between district HQs, from the previous stop in the same team's route. Blank = travel from team base / home after a break. Verify on Google Maps.</t>
        </r>
      </text>
    </comment>
  </commentList>
</comments>
</file>

<file path=xl/sharedStrings.xml><?xml version="1.0" encoding="utf-8"?>
<sst xmlns="http://schemas.openxmlformats.org/spreadsheetml/2006/main" count="1400" uniqueCount="387">
  <si>
    <t>Gunvatta Yatra UP – 4-Team Rollout Summary</t>
  </si>
  <si>
    <t>All figures pull from 'Route Plan' – edit dates/teams there and this sheet updates. Yellow = to fill.</t>
  </si>
  <si>
    <t>Team</t>
  </si>
  <si>
    <t>Zone</t>
  </si>
  <si>
    <t>Team member (1 person)</t>
  </si>
  <si>
    <t>Home base</t>
  </si>
  <si>
    <t>Yatras</t>
  </si>
  <si>
    <t>Districts covered</t>
  </si>
  <si>
    <t>First solo Yatra</t>
  </si>
  <si>
    <t>Last Yatra</t>
  </si>
  <si>
    <t>Joint Yatras attended</t>
  </si>
  <si>
    <t>Reserve slots</t>
  </si>
  <si>
    <t>Team 1 – West</t>
  </si>
  <si>
    <t>Bareilly · Moradabad · Saharanpur · Meerut (NCR)</t>
  </si>
  <si>
    <t>Team 2 – East</t>
  </si>
  <si>
    <t>Gorakhpur · Basti · Devipatan · Azamgarh · Varanasi</t>
  </si>
  <si>
    <t>Pankaj (confirm)</t>
  </si>
  <si>
    <t>Team 3 – Central</t>
  </si>
  <si>
    <t>Lucknow belt · Ayodhya · Jaunpur–Vindhyachal · Prayagraj</t>
  </si>
  <si>
    <t>Team 4 – South-West &amp; Bundelkhand</t>
  </si>
  <si>
    <t>Kanpur · Agra · Aligarh · Jhansi · Chitrakoot</t>
  </si>
  <si>
    <t>Joint (All 4)</t>
  </si>
  <si>
    <t>State launch – all 4 members together</t>
  </si>
  <si>
    <t>All 4 members</t>
  </si>
  <si>
    <t>—</t>
  </si>
  <si>
    <t>TOTAL</t>
  </si>
  <si>
    <t>Check: districts covered should equal 75 →</t>
  </si>
  <si>
    <t>Yatras per month</t>
  </si>
  <si>
    <t>Total</t>
  </si>
  <si>
    <t>How the plan works</t>
  </si>
  <si>
    <t>1. Only the LUCKNOW launch (Fri 23 Oct) is joint – all 4 members together. From Sat 24 Oct each member works independently in his own zone.</t>
  </si>
  <si>
    <t>2. First solo Yatra on Fri 30 Oct: Bareilly (T1), Gorakhpur (T2), Barabanki (T3), Kanpur Nagar (T4) – all within a day's drive of Lucknow.</t>
  </si>
  <si>
    <t>3. 6 Nov (Dhanteras/Diwali) and 13 Nov (Bhai Dooj on Wed 11 Nov) are skipped – use these 2 weeks for CMO letters &amp; hospital lists for Circuit 1 and 2.</t>
  </si>
  <si>
    <t>4. Every Yatra is on FRIDAY; the team member reaches the district Monday/Tuesday (3–4 days for CMO meeting, SPOC, mobilisation).</t>
  </si>
  <si>
    <t>5. One circuit = 4 neighbouring districts on 4 consecutive Fridays: Circuit 1 (20 Nov–11 Dec), Circuit 2 (Jan), Circuit 3 (Feb), Circuit 4 (Mar) → 4 teams × 4 = 16 Yatras a month.</t>
  </si>
  <si>
    <t>6. Holiday rule (Friday Calendar sheet): Wed/Thu holiday → week skipped; Friday holiday → Saturday (26 Mar Good Friday → Sat 27 Mar, kept as reserve).</t>
  </si>
  <si>
    <t>7. All 75 districts finish by 19 Mar 2027. 18 Dec and 27 Mar (plus 26 Feb for T4 and 19 Mar for T3) are RESERVE slots for any postponed Yatra – no April spill-over needed.</t>
  </si>
  <si>
    <t>8. Up to 4 parallel Yatras every Friday → 4 distinct NABH faculty needed per Friday (Friday Calendar col P).</t>
  </si>
  <si>
    <t>UP Holidays &amp; Festivals – Oct 2026 to Apr 2027</t>
  </si>
  <si>
    <t>Blocks Yatra? = Yes → counts as holiday in the Friday rule · Caution → Yatra allowed but flagged · Edit column E to change the rule. 2027 UP list not yet notified – 2027 dates indicative; Islamic dates moon-dependent.</t>
  </si>
  <si>
    <t>Date</t>
  </si>
  <si>
    <t>Day</t>
  </si>
  <si>
    <t>Holiday / Festival</t>
  </si>
  <si>
    <t>Type</t>
  </si>
  <si>
    <t>Blocks Yatra?</t>
  </si>
  <si>
    <t>Note</t>
  </si>
  <si>
    <t>Mahatma Gandhi Jayanti</t>
  </si>
  <si>
    <t>Gazetted</t>
  </si>
  <si>
    <t>Yes</t>
  </si>
  <si>
    <t>Before launch</t>
  </si>
  <si>
    <t>Maha Navami</t>
  </si>
  <si>
    <t>Lucknow launch prep week</t>
  </si>
  <si>
    <t>Dussehra / Vijayadashami</t>
  </si>
  <si>
    <t>Some lists show 21 Oct (Wed) – if UP notifies 21 Oct, 23 Oct launch falls in a mobilisation-risk week</t>
  </si>
  <si>
    <t>Maharishi Valmiki Jayanti</t>
  </si>
  <si>
    <t>Monday – no clash</t>
  </si>
  <si>
    <t>Karva Chauth</t>
  </si>
  <si>
    <t>Restricted</t>
  </si>
  <si>
    <t>Caution</t>
  </si>
  <si>
    <t>Thursday before Gorakhpur (30 Oct)</t>
  </si>
  <si>
    <t>Sardar Patel / Acharya Narendra Dev Jayanti</t>
  </si>
  <si>
    <t>Saturday</t>
  </si>
  <si>
    <t>Dhanteras (Diwali week)</t>
  </si>
  <si>
    <t>Major festival (not gazetted)</t>
  </si>
  <si>
    <t>Practical block – hospital owners &amp; CMO staff busy</t>
  </si>
  <si>
    <t>Choti Diwali / Narak Chaturdashi</t>
  </si>
  <si>
    <t>Observance</t>
  </si>
  <si>
    <t>Blocks Saturday shift for 6 Nov</t>
  </si>
  <si>
    <t>Deepawali</t>
  </si>
  <si>
    <t>Sunday</t>
  </si>
  <si>
    <t>Govardhan Puja</t>
  </si>
  <si>
    <t>Some lists show 10 Nov</t>
  </si>
  <si>
    <t>Bhai Dooj / Chitragupta Jayanti</t>
  </si>
  <si>
    <t>Wednesday → 13 Nov skipped</t>
  </si>
  <si>
    <t>Chhath Puja (evening arghya)</t>
  </si>
  <si>
    <t>Heavy in East UP – Kushi Nagar moved to 27 Nov</t>
  </si>
  <si>
    <t>Chhath Puja (morning arghya)</t>
  </si>
  <si>
    <t>East UP staff return mid-week</t>
  </si>
  <si>
    <t>Guru Nanak Jayanti / Kartik Purnima</t>
  </si>
  <si>
    <t>Tuesday – no clash</t>
  </si>
  <si>
    <t>Chaudhary Charan Singh Jayanti / Hazrat Ali Jayanti</t>
  </si>
  <si>
    <t>Wednesday → 25 Dec week skipped</t>
  </si>
  <si>
    <t>Christmas Eve</t>
  </si>
  <si>
    <t>Christmas</t>
  </si>
  <si>
    <t>Friday</t>
  </si>
  <si>
    <t>New Year's Day</t>
  </si>
  <si>
    <t>Year-end break applied via override</t>
  </si>
  <si>
    <t>Makar Sankranti / Khichdi</t>
  </si>
  <si>
    <t>Gorakhpur Khichdi mela, Prayagraj Magh Mela, Ayodhya snan – no team in these on 15 Jan</t>
  </si>
  <si>
    <t>Republic Day</t>
  </si>
  <si>
    <t>National</t>
  </si>
  <si>
    <t>Basant Panchami (approx.)</t>
  </si>
  <si>
    <t>Magh Mela snan day – Prayagraj avoided in Feb</t>
  </si>
  <si>
    <t>Sant Ravidas Jayanti / Magh Purnima (approx.)</t>
  </si>
  <si>
    <t>Maha Shivratri (approx.)</t>
  </si>
  <si>
    <t>Eid-ul-Fitr (approx., moon-dependent)</t>
  </si>
  <si>
    <t>If it falls on Wed 10 Mar, 12 Mar Yatras must move to 2 Apr</t>
  </si>
  <si>
    <t>Holika Dahan</t>
  </si>
  <si>
    <t>Holi</t>
  </si>
  <si>
    <t>Monday</t>
  </si>
  <si>
    <t>Good Friday</t>
  </si>
  <si>
    <t>Friday → Yatras on Saturday 27 Mar</t>
  </si>
  <si>
    <t>Dr. B.R. Ambedkar Jayanti</t>
  </si>
  <si>
    <t>Wednesday → 16 Apr skipped</t>
  </si>
  <si>
    <t>Ram Navami (approx.)</t>
  </si>
  <si>
    <t>Gunvatta Yatra UP – 4-Team Route Plan (Friday Yatras)</t>
  </si>
  <si>
    <t>Ref: SACHIS Circular ABPMJAY/UP-GY/2026-27/161 · Entry Level Certification · Yellow = to fill · Blue km = approx. road distance, verify on maps · Columns Y–Z are helper columns</t>
  </si>
  <si>
    <t>S.No</t>
  </si>
  <si>
    <t>Phase / Circuit</t>
  </si>
  <si>
    <t>Leg</t>
  </si>
  <si>
    <t>Mandal</t>
  </si>
  <si>
    <t>District / Cluster (Host)</t>
  </si>
  <si>
    <t>No. of districts</t>
  </si>
  <si>
    <t>Yatra Date</t>
  </si>
  <si>
    <t>Team on ground by</t>
  </si>
  <si>
    <t>Travel from</t>
  </si>
  <si>
    <t>Approx. road km</t>
  </si>
  <si>
    <t>Calendar check</t>
  </si>
  <si>
    <t>Earlier GY visit</t>
  </si>
  <si>
    <t>Venue (Primary)</t>
  </si>
  <si>
    <t>Fallback</t>
  </si>
  <si>
    <t>Refreshment &amp; AV</t>
  </si>
  <si>
    <t>NABH Faculty</t>
  </si>
  <si>
    <t>District SPOC (CMO office)</t>
  </si>
  <si>
    <t>Turnout target</t>
  </si>
  <si>
    <t>Status</t>
  </si>
  <si>
    <t>Remarks</t>
  </si>
  <si>
    <t>Week Friday</t>
  </si>
  <si>
    <t>Key</t>
  </si>
  <si>
    <t>Joint Launch</t>
  </si>
  <si>
    <t>J-1</t>
  </si>
  <si>
    <t>Lucknow</t>
  </si>
  <si>
    <t>Team base</t>
  </si>
  <si>
    <t>Yes – 20 attended (11 Hot, 2 Warm). Run as follow-up</t>
  </si>
  <si>
    <t>CMO Office</t>
  </si>
  <si>
    <t>QCI Procurement</t>
  </si>
  <si>
    <t>CMO / QCI – to be locked</t>
  </si>
  <si>
    <t>40–50 hospitals</t>
  </si>
  <si>
    <t>Planned</t>
  </si>
  <si>
    <t>GRAND LAUNCH – all 4 members. Prep week overlaps Dussehra (19–20 Oct) – team on ground from Wed 21 Oct. Teams split on Sat 24 Oct</t>
  </si>
  <si>
    <t>First solo Yatra (Oct 2026)</t>
  </si>
  <si>
    <t>C0-L1</t>
  </si>
  <si>
    <t>Bareilly</t>
  </si>
  <si>
    <t>New district</t>
  </si>
  <si>
    <t>Only ~2 weeks lead time – CMO letter + SPOC needed this week. Karva Chauth Thu 29 Oct</t>
  </si>
  <si>
    <t>Circuit 1 (Nov–Dec 2026)</t>
  </si>
  <si>
    <t>C1-L1</t>
  </si>
  <si>
    <t>Shahjahanpur</t>
  </si>
  <si>
    <t>After Diwali break (31 Oct – 15 Nov)</t>
  </si>
  <si>
    <t>C1-L2</t>
  </si>
  <si>
    <t>Pilibhit</t>
  </si>
  <si>
    <t>Yes – 25 attended (no conversions). Run as follow-up</t>
  </si>
  <si>
    <t>C1-L3</t>
  </si>
  <si>
    <t>Moradabad</t>
  </si>
  <si>
    <t>Rampur</t>
  </si>
  <si>
    <t>C1-L4</t>
  </si>
  <si>
    <t>Reserve</t>
  </si>
  <si>
    <t>R-1</t>
  </si>
  <si>
    <t>RESERVE SLOT</t>
  </si>
  <si>
    <t>Buffer for a postponed Yatra</t>
  </si>
  <si>
    <t>Year-end reserve – use only for a postponed Yatra</t>
  </si>
  <si>
    <t>Circuit 2 (Jan 2027)</t>
  </si>
  <si>
    <t>C2-L1</t>
  </si>
  <si>
    <t>Saharanpur</t>
  </si>
  <si>
    <t>Yes – 19 attended (1 Hot, 2 Warm). Run as follow-up</t>
  </si>
  <si>
    <t>C2-L2</t>
  </si>
  <si>
    <t>Muzaffarnagar</t>
  </si>
  <si>
    <t>Makar Sankranti Thu 14 Jan (restricted) – early registrations</t>
  </si>
  <si>
    <t>C2-L3</t>
  </si>
  <si>
    <t>Shamli</t>
  </si>
  <si>
    <t>Small district – invite Muzaffarnagar spill-over</t>
  </si>
  <si>
    <t>C2-L4</t>
  </si>
  <si>
    <t>Meerut</t>
  </si>
  <si>
    <t>Baghpat</t>
  </si>
  <si>
    <t>Circuit 3 (Feb 2027)</t>
  </si>
  <si>
    <t>C3-L1</t>
  </si>
  <si>
    <t>Yes – 30 attended (no conversions). Run as follow-up</t>
  </si>
  <si>
    <t>C3-L2</t>
  </si>
  <si>
    <t>Hapur</t>
  </si>
  <si>
    <t>Basant Panchami Thu 11 Feb (restricted)</t>
  </si>
  <si>
    <t>C3-L3</t>
  </si>
  <si>
    <t>Ghaziabad</t>
  </si>
  <si>
    <t>C3-L4</t>
  </si>
  <si>
    <t>Gautam Buddha Nagar</t>
  </si>
  <si>
    <t>Circuit 4 (Mar 2027)</t>
  </si>
  <si>
    <t>C4-L1</t>
  </si>
  <si>
    <t>Bijnor</t>
  </si>
  <si>
    <t>C4-L2</t>
  </si>
  <si>
    <t>Amroha</t>
  </si>
  <si>
    <t>Eid-ul-Fitr ~9 Mar (moon) – confirm</t>
  </si>
  <si>
    <t>C4-L3</t>
  </si>
  <si>
    <t>Budaun Cluster</t>
  </si>
  <si>
    <t>Budaun, Sambhal</t>
  </si>
  <si>
    <t>80–100 hospitals</t>
  </si>
  <si>
    <t>Host: Budaun – invite Sambhal via its CMO</t>
  </si>
  <si>
    <t>R-2</t>
  </si>
  <si>
    <t>Holi week / Good Friday Saturday – reserve</t>
  </si>
  <si>
    <t>Gorakhpur</t>
  </si>
  <si>
    <t>Yes – 74 attended (6 Won, 24 Hot). Run as follow-up</t>
  </si>
  <si>
    <t>Already in mobilisation. Karva Chauth Thu 29 Oct</t>
  </si>
  <si>
    <t>Basti</t>
  </si>
  <si>
    <t>Chhath 15–16 Nov – reach Tue 17 Nov; push registrations by phone before</t>
  </si>
  <si>
    <t>Sant Kabir Nagar</t>
  </si>
  <si>
    <t>Maharajganj</t>
  </si>
  <si>
    <t>Kushi Nagar</t>
  </si>
  <si>
    <t>Siddharth Nagar</t>
  </si>
  <si>
    <t>Devipatan</t>
  </si>
  <si>
    <t>Balrampur Cluster</t>
  </si>
  <si>
    <t>Balrampur, Shravasti</t>
  </si>
  <si>
    <t>Host: Balrampur. Khichdi Thu 14 Jan – Gorakhpur avoided</t>
  </si>
  <si>
    <t>Bahraich</t>
  </si>
  <si>
    <t>Balrampur</t>
  </si>
  <si>
    <t>Yes – 15 attended (no conversions). Run as follow-up</t>
  </si>
  <si>
    <t>Gonda</t>
  </si>
  <si>
    <t>Yes – 21 attended (1 Won). Run as follow-up</t>
  </si>
  <si>
    <t>Deoria</t>
  </si>
  <si>
    <t>Yes – 29 attended (3 Won). Run as follow-up</t>
  </si>
  <si>
    <t>Azamgarh</t>
  </si>
  <si>
    <t>Ballia</t>
  </si>
  <si>
    <t>Mau</t>
  </si>
  <si>
    <t>Yes – 11 attended (2 Warm). Run as follow-up</t>
  </si>
  <si>
    <t>Varanasi</t>
  </si>
  <si>
    <t>Ghazipur</t>
  </si>
  <si>
    <t>Chandauli</t>
  </si>
  <si>
    <t>Yes – 6 attended (2 Hot). Run as follow-up</t>
  </si>
  <si>
    <t>Ayodhya</t>
  </si>
  <si>
    <t>Barabanki</t>
  </si>
  <si>
    <t>Sitapur</t>
  </si>
  <si>
    <t>Lakhimpur Kheri</t>
  </si>
  <si>
    <t>Hardoi</t>
  </si>
  <si>
    <t>Unnao</t>
  </si>
  <si>
    <t>Amethi</t>
  </si>
  <si>
    <t>Sultanpur</t>
  </si>
  <si>
    <t>Yes – 35 attended (1 Won, 6 Warm). Run as follow-up</t>
  </si>
  <si>
    <t>Makar Sankranti Thu 14 Jan – Ayodhya kept to 29 Jan</t>
  </si>
  <si>
    <t>Ambedkar Nagar</t>
  </si>
  <si>
    <t>Yes – 32 attended (4 Won). Run as follow-up</t>
  </si>
  <si>
    <t>Yes – 32 attended (2 Won). Run as follow-up</t>
  </si>
  <si>
    <t>Jaunpur</t>
  </si>
  <si>
    <t>Yes – 22 attended (2 Won, 3 Hot). Run as follow-up</t>
  </si>
  <si>
    <t>Vindhyachal</t>
  </si>
  <si>
    <t>Bhadohi</t>
  </si>
  <si>
    <t>Mirzapur</t>
  </si>
  <si>
    <t>Yes – 27 attended (no conversions). Run as follow-up</t>
  </si>
  <si>
    <t>Sonbhadra</t>
  </si>
  <si>
    <t>Prayagraj</t>
  </si>
  <si>
    <t>Pratapgarh Cluster</t>
  </si>
  <si>
    <t>Pratapgarh, Rae Bareli, Kaushambi</t>
  </si>
  <si>
    <t>Yes – 20 attended (Pratapgarh only). Run as follow-up</t>
  </si>
  <si>
    <t>Host: Pratapgarh – after Magh Mela</t>
  </si>
  <si>
    <t>Pratapgarh</t>
  </si>
  <si>
    <t>Yes – 30 attended (8 in progress, 7 Hot). Run as follow-up</t>
  </si>
  <si>
    <t>Reserve – Team 3 finishes early</t>
  </si>
  <si>
    <t>R-3</t>
  </si>
  <si>
    <t>Kanpur</t>
  </si>
  <si>
    <t>Kanpur Nagar</t>
  </si>
  <si>
    <t>Only ~2 weeks lead time – CMO letter + SPOC needed this week. Large hospital base – 60+ seats</t>
  </si>
  <si>
    <t>Fatehpur</t>
  </si>
  <si>
    <t>Kanpur Dehat</t>
  </si>
  <si>
    <t>Etawah</t>
  </si>
  <si>
    <t>Farrukhabad Cluster</t>
  </si>
  <si>
    <t>Farrukhabad, Kannauj, Auraiya</t>
  </si>
  <si>
    <t>Host: Farrukhabad</t>
  </si>
  <si>
    <t>Agra</t>
  </si>
  <si>
    <t>Mainpuri</t>
  </si>
  <si>
    <t>Firozabad</t>
  </si>
  <si>
    <t>Makar Sankranti Thu 14 Jan (restricted)</t>
  </si>
  <si>
    <t>Yes – 14 attended (3 Won). Run as follow-up</t>
  </si>
  <si>
    <t>Mathura</t>
  </si>
  <si>
    <t>Yes – 42 attended (no conversions). Run as follow-up</t>
  </si>
  <si>
    <t>Aligarh</t>
  </si>
  <si>
    <t>Hathras Cluster</t>
  </si>
  <si>
    <t>Hathras, Etah, Kasganj</t>
  </si>
  <si>
    <t>Host: Hathras. Basant Panchami Thu 11 Feb (restricted)</t>
  </si>
  <si>
    <t>Bulandshahar</t>
  </si>
  <si>
    <t>Hathras</t>
  </si>
  <si>
    <t>Jhansi</t>
  </si>
  <si>
    <t>Yes – 41 attended (8 in progress, 14 Hot). Run as follow-up</t>
  </si>
  <si>
    <t>Orai (Jalaun) Cluster</t>
  </si>
  <si>
    <t>Jalaun, Lalitpur</t>
  </si>
  <si>
    <t>Host: Orai. Eid-ul-Fitr ~9 Mar (moon) – confirm</t>
  </si>
  <si>
    <t>Chitrakoot</t>
  </si>
  <si>
    <t>Banda Cluster</t>
  </si>
  <si>
    <t>Banda, Chitrakoot, Mahoba, Hamirpur</t>
  </si>
  <si>
    <t>Orai</t>
  </si>
  <si>
    <t>Host: Banda – before Holi week</t>
  </si>
  <si>
    <t>Districts (col I) · Yatras (col J)</t>
  </si>
  <si>
    <t>Friday Calendar – Holiday &amp; Mobilisation Check</t>
  </si>
  <si>
    <t>Rule: Wed/Thu holiday → SKIP (participant mobilisation) · Friday holiday → SATURDAY · Caution = Yatra allowed, push registrations early · Override (yellow) beats the rule</t>
  </si>
  <si>
    <t>Team on ground (Mon)</t>
  </si>
  <si>
    <t>Wed holiday</t>
  </si>
  <si>
    <t>Thu holiday</t>
  </si>
  <si>
    <t>Fri holiday</t>
  </si>
  <si>
    <t>Sat holiday</t>
  </si>
  <si>
    <t>Wed/Thu blocks</t>
  </si>
  <si>
    <t>Fri blocks</t>
  </si>
  <si>
    <t>Sat blocks</t>
  </si>
  <si>
    <t>Caution count</t>
  </si>
  <si>
    <t>Rule result</t>
  </si>
  <si>
    <t>Planning override</t>
  </si>
  <si>
    <t>FINAL STATUS</t>
  </si>
  <si>
    <t>Yatra date to use</t>
  </si>
  <si>
    <t>Yatras scheduled</t>
  </si>
  <si>
    <t>NABH faculty needed</t>
  </si>
  <si>
    <t>SKIP – year-end break (19 Dec–3 Jan)</t>
  </si>
  <si>
    <t>Route Matrix – Week-by-Week, Team-by-Team</t>
  </si>
  <si>
    <t>Each column is one person's route. Only Lucknow (23 Oct) is joint. One circuit = 4 consecutive Fridays in neighbouring districts.</t>
  </si>
  <si>
    <t>Week (Friday)</t>
  </si>
  <si>
    <t>Yatra date</t>
  </si>
  <si>
    <t>Calendar status</t>
  </si>
  <si>
    <t>Yatras this week</t>
  </si>
  <si>
    <t>Weekly Rhythm – One Yatra Week (per team member)</t>
  </si>
  <si>
    <t>Same rhythm every week; for a Saturday Yatra shift every row by one day</t>
  </si>
  <si>
    <t>When</t>
  </si>
  <si>
    <t>Activity</t>
  </si>
  <si>
    <t>Output / check</t>
  </si>
  <si>
    <t>With</t>
  </si>
  <si>
    <t>T-30 (month before circuit)</t>
  </si>
  <si>
    <t>Send QCI letter (citing SACHIS Circular 161) to all 4 CMOs of the next circuit; request hospital list + SPOC</t>
  </si>
  <si>
    <t>Letters dispatched for all 4 districts</t>
  </si>
  <si>
    <t>CMO offices</t>
  </si>
  <si>
    <t>T-15</t>
  </si>
  <si>
    <t>Pre-build target list: PM-JAY empanelled hospitals minus NABH-certified; ask CMO only to validate</t>
  </si>
  <si>
    <t>District target list ready</t>
  </si>
  <si>
    <t>Analyst / CMO</t>
  </si>
  <si>
    <t>T-10</t>
  </si>
  <si>
    <t>Venue confirmed by CMO – else trigger QCI Procurement; decide Refreshment &amp; AV owner</t>
  </si>
  <si>
    <t>Venue + AV locked</t>
  </si>
  <si>
    <t>CMO / QCI Procurement</t>
  </si>
  <si>
    <t>T-7</t>
  </si>
  <si>
    <t>Confirm NABH faculty for the date (distinct faculty for each parallel Yatra)</t>
  </si>
  <si>
    <t>Faculty confirmed</t>
  </si>
  <si>
    <t>NABH coordinator</t>
  </si>
  <si>
    <t>Reach district; meet CMO / Dy. CMO; confirm SPOC; collect &amp; validate hospital list</t>
  </si>
  <si>
    <t>SPOC named, list validated</t>
  </si>
  <si>
    <t>CMO office</t>
  </si>
  <si>
    <t>Tuesday</t>
  </si>
  <si>
    <t>CMO invitation circulated; CRM registration link shared; calls to top 60 non-NABH hospitals</t>
  </si>
  <si>
    <t>Registrations started</t>
  </si>
  <si>
    <t>SPOC</t>
  </si>
  <si>
    <t>Wednesday</t>
  </si>
  <si>
    <t>Visit key hospitals / IMA branch; venue walk-through; refreshment &amp; AV order confirmed</t>
  </si>
  <si>
    <t>≥25 registrations</t>
  </si>
  <si>
    <t>SPOC / vendor</t>
  </si>
  <si>
    <t>Thursday</t>
  </si>
  <si>
    <t>Reminder calls &amp; WhatsApp; print material, standees, feedback forms; faculty travel check</t>
  </si>
  <si>
    <t>≥40 registrations; faculty en route</t>
  </si>
  <si>
    <t>SPOC / faculty</t>
  </si>
  <si>
    <t>Friday 4–8 PM</t>
  </si>
  <si>
    <t>YATRA – Registration, QCI intro, NABH technical session, Q&amp;A, Pledge, Vote of thanks, Group photo</t>
  </si>
  <si>
    <t>Attendance + feedback captured</t>
  </si>
  <si>
    <t>NABH faculty</t>
  </si>
  <si>
    <t>Update CRM: Hot / Warm / Cold; send thank-you + next steps; travel to next district</t>
  </si>
  <si>
    <t>CRM updated within 24 hrs</t>
  </si>
  <si>
    <t>Team member</t>
  </si>
  <si>
    <t>Rest / travel</t>
  </si>
  <si>
    <t>Assumptions, Open Items &amp; Risks</t>
  </si>
  <si>
    <t>#</t>
  </si>
  <si>
    <t>Item</t>
  </si>
  <si>
    <t>Detail / Action</t>
  </si>
  <si>
    <t>Level</t>
  </si>
  <si>
    <t>30 Oct lead time</t>
  </si>
  <si>
    <t>Bareilly, Barabanki and Kanpur Nagar get only ~2 weeks (Gorakhpur is already being mobilised). Send CMO letters + get SPOCs this week; if a CMO cannot confirm by 20 Oct, move that district to its 18 Dec reserve and run its Circuit 1 district instead.</t>
  </si>
  <si>
    <t>High</t>
  </si>
  <si>
    <t>Holiday data</t>
  </si>
  <si>
    <t>2026 dates from published UP holiday lists; 2027 UP list not yet notified – 2027 dates indicative. Update 'UP Holidays' once GAD notifies (usually Dec); the calendar re-checks automatically.</t>
  </si>
  <si>
    <t>Medium</t>
  </si>
  <si>
    <t>Dussehra date</t>
  </si>
  <si>
    <t>Lists differ (20 Oct Tue vs 21 Oct Wed). If 21 Oct is notified, the Lucknow launch week is a Wed-holiday week – mobilise before Dussehra.</t>
  </si>
  <si>
    <t>Chhath</t>
  </si>
  <si>
    <t>Team 2's Basti (20 Nov) comes right after Chhath (15–16 Nov) – reach Tue 17 Nov and finish phone mobilisation before the festival.</t>
  </si>
  <si>
    <t>Eid-ul-Fitr</t>
  </si>
  <si>
    <t>Expected ~9 Mar 2027 (Tue). If moon puts it on Wed 10 Mar, the 12 Mar Yatras move to the 27 Mar / 19 Mar reserve slots.</t>
  </si>
  <si>
    <t>UP Assembly election 2027</t>
  </si>
  <si>
    <t>Likely Feb–Mar 2027. Once Model Code of Conduct applies, CMO/DM staff go on poll duty and govt halls get requisitioned – book QCI-procured venues for Feb–Mar, no political guests, avoid each district's poll date ±3 days.</t>
  </si>
  <si>
    <t>Fog / timing</t>
  </si>
  <si>
    <t>Dec–Feb dense fog: an 8 PM finish means night highway driving. Consider 2–6 PM sessions Dec–Feb, or overnight stay.</t>
  </si>
  <si>
    <t>Clusters</t>
  </si>
  <si>
    <t>7 cluster Yatras (host + neighbours). Ask CMOs of ALL cluster districts to mobilise, not only the host; consider 12–4 PM so hospitals can travel back.</t>
  </si>
  <si>
    <t>Single-person teams</t>
  </si>
  <si>
    <t>No backup if a member falls sick. Use reserve slots; name one standby person who can step into any zone.</t>
  </si>
  <si>
    <t>4 parallel Yatras every Friday from 30 Oct → pool of 5–6 faculty, block dates month-wise, confirm at T-7.</t>
  </si>
  <si>
    <t>Distances</t>
  </si>
  <si>
    <t>Road km are approximate HQ-to-HQ figures for route planning only – verify before booking travel.</t>
  </si>
  <si>
    <t>Low</t>
  </si>
  <si>
    <t>Gunvatta Manthan</t>
  </si>
  <si>
    <t>Earlier reserve date 31 Mar 2027 = financial-year close + possible new govt. Suggest mid-April 2027.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</si>
</sst>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&quot; (&quot;ddd\)"/>
  </numFmts>
  <fonts count="13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9"/>
      <name val="Arial"/>
      <charset val="1"/>
    </font>
    <font>
      <b/>
      <sz val="11"/>
      <color rgb="FF006100"/>
      <name val="Arial"/>
      <charset val="1"/>
    </font>
    <font>
      <b/>
      <sz val="12"/>
      <color rgb="FF1F3864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1"/>
      <name val="Arial"/>
      <charset val="1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7E6E6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7E6E6"/>
      </patternFill>
    </fill>
    <fill>
      <patternFill patternType="solid">
        <fgColor rgb="FFFCE4D6"/>
        <bgColor rgb="FFFFF2CC"/>
      </patternFill>
    </fill>
    <fill>
      <patternFill patternType="solid">
        <fgColor rgb="FFEDE2F6"/>
        <bgColor rgb="FFE7E6E6"/>
      </patternFill>
    </fill>
    <fill>
      <patternFill patternType="solid">
        <fgColor rgb="FFE7E6E6"/>
        <bgColor rgb="FFEDE2F6"/>
      </patternFill>
    </fill>
    <fill>
      <patternFill patternType="solid">
        <fgColor rgb="FFF2F2F2"/>
        <bgColor rgb="FFE7E6E6"/>
      </patternFill>
    </fill>
    <fill>
      <patternFill patternType="solid">
        <fgColor rgb="FFFFC7CE"/>
        <bgColor rgb="FFFCE4D6"/>
      </patternFill>
    </fill>
    <fill>
      <patternFill patternType="solid">
        <fgColor rgb="FFFFEB9C"/>
        <bgColor rgb="FFFFF2CC"/>
      </patternFill>
    </fill>
    <fill>
      <patternFill patternType="solid">
        <fgColor rgb="FFC6EFCE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15" fontId="5" fillId="3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 wrapText="1"/>
    </xf>
    <xf numFmtId="15" fontId="5" fillId="5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center" vertical="center" wrapText="1"/>
    </xf>
    <xf numFmtId="15" fontId="5" fillId="6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horizontal="center" vertical="center" wrapText="1"/>
    </xf>
    <xf numFmtId="15" fontId="5" fillId="7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horizontal="center" vertical="center" wrapText="1"/>
    </xf>
    <xf numFmtId="15" fontId="5" fillId="8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horizontal="center" vertical="center" wrapText="1"/>
    </xf>
    <xf numFmtId="15" fontId="4" fillId="9" borderId="1" xfId="0" applyNumberFormat="1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17" fontId="3" fillId="2" borderId="1" xfId="0" applyNumberFormat="1" applyFont="1" applyFill="1" applyBorder="1" applyAlignment="1">
      <alignment horizontal="center" vertical="center" wrapText="1"/>
    </xf>
    <xf numFmtId="15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164" fontId="5" fillId="8" borderId="1" xfId="0" applyNumberFormat="1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15" fontId="5" fillId="8" borderId="1" xfId="0" applyNumberFormat="1" applyFont="1" applyFill="1" applyBorder="1" applyAlignment="1">
      <alignment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15" fontId="5" fillId="3" borderId="1" xfId="0" applyNumberFormat="1" applyFont="1" applyFill="1" applyBorder="1" applyAlignment="1">
      <alignment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15" fontId="5" fillId="5" borderId="1" xfId="0" applyNumberFormat="1" applyFont="1" applyFill="1" applyBorder="1" applyAlignment="1">
      <alignment vertical="center" wrapText="1"/>
    </xf>
    <xf numFmtId="164" fontId="5" fillId="6" borderId="1" xfId="0" applyNumberFormat="1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15" fontId="5" fillId="6" borderId="1" xfId="0" applyNumberFormat="1" applyFont="1" applyFill="1" applyBorder="1" applyAlignment="1">
      <alignment vertical="center" wrapText="1"/>
    </xf>
    <xf numFmtId="164" fontId="5" fillId="7" borderId="1" xfId="0" applyNumberFormat="1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15" fontId="5" fillId="7" borderId="1" xfId="0" applyNumberFormat="1" applyFont="1" applyFill="1" applyBorder="1" applyAlignment="1">
      <alignment vertical="center" wrapText="1"/>
    </xf>
    <xf numFmtId="0" fontId="11" fillId="0" borderId="0" xfId="0" applyFont="1"/>
    <xf numFmtId="164" fontId="5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4" fillId="4" borderId="1" xfId="0" applyFont="1" applyFill="1" applyBorder="1" applyAlignment="1">
      <alignment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top" wrapText="1"/>
    </xf>
  </cellXfs>
  <cellStyles count="1">
    <cellStyle name="Normal" xfId="0" builtinId="0"/>
  </cellStyles>
  <dxfs count="8">
    <dxf>
      <fill>
        <patternFill>
          <bgColor rgb="FFBDD7E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BDD7E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E7E6E6"/>
      <rgbColor rgb="FFFCE4D6"/>
      <rgbColor rgb="FFEDE2F6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showGridLines="0" topLeftCell="A22" zoomScaleNormal="100" workbookViewId="0">
      <selection activeCell="A33" sqref="A33"/>
    </sheetView>
  </sheetViews>
  <sheetFormatPr baseColWidth="10" defaultColWidth="8.6640625" defaultRowHeight="15" x14ac:dyDescent="0.2"/>
  <cols>
    <col min="1" max="1" width="32" customWidth="1"/>
    <col min="2" max="2" width="44" customWidth="1"/>
    <col min="3" max="3" width="22" customWidth="1"/>
    <col min="4" max="4" width="16" customWidth="1"/>
    <col min="5" max="5" width="12" customWidth="1"/>
    <col min="6" max="8" width="14" customWidth="1"/>
    <col min="9" max="9" width="12" customWidth="1"/>
    <col min="10" max="10" width="10" customWidth="1"/>
  </cols>
  <sheetData>
    <row r="1" spans="1:10" ht="18" x14ac:dyDescent="0.2">
      <c r="A1" s="1" t="s">
        <v>0</v>
      </c>
    </row>
    <row r="2" spans="1:10" x14ac:dyDescent="0.2">
      <c r="A2" s="2" t="s">
        <v>1</v>
      </c>
    </row>
    <row r="4" spans="1:10" ht="30" customHeight="1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">
      <c r="A5" s="4" t="s">
        <v>12</v>
      </c>
      <c r="B5" s="5" t="s">
        <v>13</v>
      </c>
      <c r="C5" s="6"/>
      <c r="D5" s="6"/>
      <c r="E5" s="7">
        <f>COUNTIFS('Route Plan'!$C$5:$C$77,A5,'Route Plan'!$I$5:$I$77,"&gt;0")</f>
        <v>16</v>
      </c>
      <c r="F5" s="7">
        <f>SUMIF('Route Plan'!$C$5:$C$77,A5,'Route Plan'!$I$5:$I$77)</f>
        <v>17</v>
      </c>
      <c r="G5" s="8">
        <f>_xlfn.MINIFS('Route Plan'!$J$5:$J$77,'Route Plan'!$C$5:$C$77,A5,'Route Plan'!$I$5:$I$77,"&gt;0")</f>
        <v>46325</v>
      </c>
      <c r="H5" s="8">
        <f>_xlfn.MAXIFS('Route Plan'!$J$5:$J$77,'Route Plan'!$C$5:$C$77,A5,'Route Plan'!$I$5:$I$77,"&gt;0")</f>
        <v>46465</v>
      </c>
      <c r="I5" s="7">
        <f>COUNTIF('Route Plan'!$C$5:$C$77,"Joint (All 4)")</f>
        <v>1</v>
      </c>
      <c r="J5" s="7">
        <f>COUNTIFS('Route Plan'!$C$5:$C$77,A5,'Route Plan'!$I$5:$I$77,0)</f>
        <v>2</v>
      </c>
    </row>
    <row r="6" spans="1:10" x14ac:dyDescent="0.2">
      <c r="A6" s="9" t="s">
        <v>14</v>
      </c>
      <c r="B6" s="10" t="s">
        <v>15</v>
      </c>
      <c r="C6" s="6" t="s">
        <v>16</v>
      </c>
      <c r="D6" s="6"/>
      <c r="E6" s="11">
        <f>COUNTIFS('Route Plan'!$C$5:$C$77,A6,'Route Plan'!$I$5:$I$77,"&gt;0")</f>
        <v>16</v>
      </c>
      <c r="F6" s="11">
        <f>SUMIF('Route Plan'!$C$5:$C$77,A6,'Route Plan'!$I$5:$I$77)</f>
        <v>17</v>
      </c>
      <c r="G6" s="12">
        <f>_xlfn.MINIFS('Route Plan'!$J$5:$J$77,'Route Plan'!$C$5:$C$77,A6,'Route Plan'!$I$5:$I$77,"&gt;0")</f>
        <v>46325</v>
      </c>
      <c r="H6" s="12">
        <f>_xlfn.MAXIFS('Route Plan'!$J$5:$J$77,'Route Plan'!$C$5:$C$77,A6,'Route Plan'!$I$5:$I$77,"&gt;0")</f>
        <v>46465</v>
      </c>
      <c r="I6" s="11">
        <f>COUNTIF('Route Plan'!$C$5:$C$77,"Joint (All 4)")</f>
        <v>1</v>
      </c>
      <c r="J6" s="11">
        <f>COUNTIFS('Route Plan'!$C$5:$C$77,A6,'Route Plan'!$I$5:$I$77,0)</f>
        <v>2</v>
      </c>
    </row>
    <row r="7" spans="1:10" ht="28" x14ac:dyDescent="0.2">
      <c r="A7" s="13" t="s">
        <v>17</v>
      </c>
      <c r="B7" s="14" t="s">
        <v>18</v>
      </c>
      <c r="C7" s="6"/>
      <c r="D7" s="6"/>
      <c r="E7" s="15">
        <f>COUNTIFS('Route Plan'!$C$5:$C$77,A7,'Route Plan'!$I$5:$I$77,"&gt;0")</f>
        <v>15</v>
      </c>
      <c r="F7" s="15">
        <f>SUMIF('Route Plan'!$C$5:$C$77,A7,'Route Plan'!$I$5:$I$77)</f>
        <v>17</v>
      </c>
      <c r="G7" s="16">
        <f>_xlfn.MINIFS('Route Plan'!$J$5:$J$77,'Route Plan'!$C$5:$C$77,A7,'Route Plan'!$I$5:$I$77,"&gt;0")</f>
        <v>46325</v>
      </c>
      <c r="H7" s="16">
        <f>_xlfn.MAXIFS('Route Plan'!$J$5:$J$77,'Route Plan'!$C$5:$C$77,A7,'Route Plan'!$I$5:$I$77,"&gt;0")</f>
        <v>46458</v>
      </c>
      <c r="I7" s="15">
        <f>COUNTIF('Route Plan'!$C$5:$C$77,"Joint (All 4)")</f>
        <v>1</v>
      </c>
      <c r="J7" s="15">
        <f>COUNTIFS('Route Plan'!$C$5:$C$77,A7,'Route Plan'!$I$5:$I$77,0)</f>
        <v>3</v>
      </c>
    </row>
    <row r="8" spans="1:10" x14ac:dyDescent="0.2">
      <c r="A8" s="17" t="s">
        <v>19</v>
      </c>
      <c r="B8" s="18" t="s">
        <v>20</v>
      </c>
      <c r="C8" s="6"/>
      <c r="D8" s="6"/>
      <c r="E8" s="19">
        <f>COUNTIFS('Route Plan'!$C$5:$C$77,A8,'Route Plan'!$I$5:$I$77,"&gt;0")</f>
        <v>15</v>
      </c>
      <c r="F8" s="19">
        <f>SUMIF('Route Plan'!$C$5:$C$77,A8,'Route Plan'!$I$5:$I$77)</f>
        <v>23</v>
      </c>
      <c r="G8" s="20">
        <f>_xlfn.MINIFS('Route Plan'!$J$5:$J$77,'Route Plan'!$C$5:$C$77,A8,'Route Plan'!$I$5:$I$77,"&gt;0")</f>
        <v>46325</v>
      </c>
      <c r="H8" s="20">
        <f>_xlfn.MAXIFS('Route Plan'!$J$5:$J$77,'Route Plan'!$C$5:$C$77,A8,'Route Plan'!$I$5:$I$77,"&gt;0")</f>
        <v>46465</v>
      </c>
      <c r="I8" s="19">
        <f>COUNTIF('Route Plan'!$C$5:$C$77,"Joint (All 4)")</f>
        <v>1</v>
      </c>
      <c r="J8" s="19">
        <f>COUNTIFS('Route Plan'!$C$5:$C$77,A8,'Route Plan'!$I$5:$I$77,0)</f>
        <v>3</v>
      </c>
    </row>
    <row r="9" spans="1:10" x14ac:dyDescent="0.2">
      <c r="A9" s="21" t="s">
        <v>21</v>
      </c>
      <c r="B9" s="22" t="s">
        <v>22</v>
      </c>
      <c r="C9" s="22" t="s">
        <v>23</v>
      </c>
      <c r="D9" s="22"/>
      <c r="E9" s="23">
        <f>COUNTIFS('Route Plan'!$C$5:$C$77,A9,'Route Plan'!$I$5:$I$77,"&gt;0")</f>
        <v>1</v>
      </c>
      <c r="F9" s="23">
        <f>SUMIF('Route Plan'!$C$5:$C$77,A9,'Route Plan'!$I$5:$I$77)</f>
        <v>1</v>
      </c>
      <c r="G9" s="24">
        <f>_xlfn.MINIFS('Route Plan'!$J$5:$J$77,'Route Plan'!$C$5:$C$77,A9)</f>
        <v>46318</v>
      </c>
      <c r="H9" s="24">
        <f>_xlfn.MAXIFS('Route Plan'!$J$5:$J$77,'Route Plan'!$C$5:$C$77,A9)</f>
        <v>46318</v>
      </c>
      <c r="I9" s="23" t="s">
        <v>24</v>
      </c>
      <c r="J9" s="23" t="s">
        <v>24</v>
      </c>
    </row>
    <row r="10" spans="1:10" x14ac:dyDescent="0.2">
      <c r="A10" s="25" t="s">
        <v>25</v>
      </c>
      <c r="B10" s="25"/>
      <c r="C10" s="25"/>
      <c r="D10" s="25"/>
      <c r="E10" s="26">
        <f>SUM(E5:E9)</f>
        <v>63</v>
      </c>
      <c r="F10" s="26">
        <f>SUM(F5:F9)</f>
        <v>75</v>
      </c>
      <c r="G10" s="27">
        <f>MIN(G5:G9)</f>
        <v>46318</v>
      </c>
      <c r="H10" s="27">
        <f>MAX(H5:H9)</f>
        <v>46465</v>
      </c>
      <c r="I10" s="26"/>
      <c r="J10" s="26">
        <f>SUM(J5:J8)</f>
        <v>10</v>
      </c>
    </row>
    <row r="11" spans="1:10" x14ac:dyDescent="0.2">
      <c r="A11" s="28" t="s">
        <v>26</v>
      </c>
      <c r="F11" s="29" t="str">
        <f>IF(F10=75,"✔ All 75 districts","✖ Check coverage")</f>
        <v>✔ All 75 districts</v>
      </c>
    </row>
    <row r="13" spans="1:10" ht="16" x14ac:dyDescent="0.2">
      <c r="A13" s="30" t="s">
        <v>27</v>
      </c>
    </row>
    <row r="14" spans="1:10" x14ac:dyDescent="0.2">
      <c r="A14" s="3" t="s">
        <v>2</v>
      </c>
      <c r="B14" s="31">
        <v>46296</v>
      </c>
      <c r="C14" s="31">
        <v>46327</v>
      </c>
      <c r="D14" s="31">
        <v>46357</v>
      </c>
      <c r="E14" s="31">
        <v>46388</v>
      </c>
      <c r="F14" s="31">
        <v>46419</v>
      </c>
      <c r="G14" s="31">
        <v>46447</v>
      </c>
      <c r="H14" s="3" t="s">
        <v>28</v>
      </c>
    </row>
    <row r="15" spans="1:10" x14ac:dyDescent="0.2">
      <c r="A15" s="21" t="s">
        <v>21</v>
      </c>
      <c r="B15" s="23">
        <f>COUNTIFS('Route Plan'!$C$5:$C$77,$A15,'Route Plan'!$I$5:$I$77,"&gt;0",'Route Plan'!$J$5:$J$77,"&gt;="&amp;B$14,'Route Plan'!$J$5:$J$77,"&lt;"&amp;EDATE(B$14,1))</f>
        <v>1</v>
      </c>
      <c r="C15" s="23">
        <f>COUNTIFS('Route Plan'!$C$5:$C$77,$A15,'Route Plan'!$I$5:$I$77,"&gt;0",'Route Plan'!$J$5:$J$77,"&gt;="&amp;C$14,'Route Plan'!$J$5:$J$77,"&lt;"&amp;EDATE(C$14,1))</f>
        <v>0</v>
      </c>
      <c r="D15" s="23">
        <f>COUNTIFS('Route Plan'!$C$5:$C$77,$A15,'Route Plan'!$I$5:$I$77,"&gt;0",'Route Plan'!$J$5:$J$77,"&gt;="&amp;D$14,'Route Plan'!$J$5:$J$77,"&lt;"&amp;EDATE(D$14,1))</f>
        <v>0</v>
      </c>
      <c r="E15" s="23">
        <f>COUNTIFS('Route Plan'!$C$5:$C$77,$A15,'Route Plan'!$I$5:$I$77,"&gt;0",'Route Plan'!$J$5:$J$77,"&gt;="&amp;E$14,'Route Plan'!$J$5:$J$77,"&lt;"&amp;EDATE(E$14,1))</f>
        <v>0</v>
      </c>
      <c r="F15" s="23">
        <f>COUNTIFS('Route Plan'!$C$5:$C$77,$A15,'Route Plan'!$I$5:$I$77,"&gt;0",'Route Plan'!$J$5:$J$77,"&gt;="&amp;F$14,'Route Plan'!$J$5:$J$77,"&lt;"&amp;EDATE(F$14,1))</f>
        <v>0</v>
      </c>
      <c r="G15" s="23">
        <f>COUNTIFS('Route Plan'!$C$5:$C$77,$A15,'Route Plan'!$I$5:$I$77,"&gt;0",'Route Plan'!$J$5:$J$77,"&gt;="&amp;G$14,'Route Plan'!$J$5:$J$77,"&lt;"&amp;EDATE(G$14,1))</f>
        <v>0</v>
      </c>
      <c r="H15" s="26">
        <f>SUM(B15:G15)</f>
        <v>1</v>
      </c>
    </row>
    <row r="16" spans="1:10" x14ac:dyDescent="0.2">
      <c r="A16" s="4" t="s">
        <v>12</v>
      </c>
      <c r="B16" s="7">
        <f>COUNTIFS('Route Plan'!$C$5:$C$77,$A16,'Route Plan'!$I$5:$I$77,"&gt;0",'Route Plan'!$J$5:$J$77,"&gt;="&amp;B$14,'Route Plan'!$J$5:$J$77,"&lt;"&amp;EDATE(B$14,1))</f>
        <v>1</v>
      </c>
      <c r="C16" s="7">
        <f>COUNTIFS('Route Plan'!$C$5:$C$77,$A16,'Route Plan'!$I$5:$I$77,"&gt;0",'Route Plan'!$J$5:$J$77,"&gt;="&amp;C$14,'Route Plan'!$J$5:$J$77,"&lt;"&amp;EDATE(C$14,1))</f>
        <v>2</v>
      </c>
      <c r="D16" s="7">
        <f>COUNTIFS('Route Plan'!$C$5:$C$77,$A16,'Route Plan'!$I$5:$I$77,"&gt;0",'Route Plan'!$J$5:$J$77,"&gt;="&amp;D$14,'Route Plan'!$J$5:$J$77,"&lt;"&amp;EDATE(D$14,1))</f>
        <v>2</v>
      </c>
      <c r="E16" s="7">
        <f>COUNTIFS('Route Plan'!$C$5:$C$77,$A16,'Route Plan'!$I$5:$I$77,"&gt;0",'Route Plan'!$J$5:$J$77,"&gt;="&amp;E$14,'Route Plan'!$J$5:$J$77,"&lt;"&amp;EDATE(E$14,1))</f>
        <v>4</v>
      </c>
      <c r="F16" s="7">
        <f>COUNTIFS('Route Plan'!$C$5:$C$77,$A16,'Route Plan'!$I$5:$I$77,"&gt;0",'Route Plan'!$J$5:$J$77,"&gt;="&amp;F$14,'Route Plan'!$J$5:$J$77,"&lt;"&amp;EDATE(F$14,1))</f>
        <v>4</v>
      </c>
      <c r="G16" s="7">
        <f>COUNTIFS('Route Plan'!$C$5:$C$77,$A16,'Route Plan'!$I$5:$I$77,"&gt;0",'Route Plan'!$J$5:$J$77,"&gt;="&amp;G$14,'Route Plan'!$J$5:$J$77,"&lt;"&amp;EDATE(G$14,1))</f>
        <v>3</v>
      </c>
      <c r="H16" s="26">
        <f>SUM(B16:G16)</f>
        <v>16</v>
      </c>
    </row>
    <row r="17" spans="1:9" x14ac:dyDescent="0.2">
      <c r="A17" s="9" t="s">
        <v>14</v>
      </c>
      <c r="B17" s="11">
        <f>COUNTIFS('Route Plan'!$C$5:$C$77,$A17,'Route Plan'!$I$5:$I$77,"&gt;0",'Route Plan'!$J$5:$J$77,"&gt;="&amp;B$14,'Route Plan'!$J$5:$J$77,"&lt;"&amp;EDATE(B$14,1))</f>
        <v>1</v>
      </c>
      <c r="C17" s="11">
        <f>COUNTIFS('Route Plan'!$C$5:$C$77,$A17,'Route Plan'!$I$5:$I$77,"&gt;0",'Route Plan'!$J$5:$J$77,"&gt;="&amp;C$14,'Route Plan'!$J$5:$J$77,"&lt;"&amp;EDATE(C$14,1))</f>
        <v>2</v>
      </c>
      <c r="D17" s="11">
        <f>COUNTIFS('Route Plan'!$C$5:$C$77,$A17,'Route Plan'!$I$5:$I$77,"&gt;0",'Route Plan'!$J$5:$J$77,"&gt;="&amp;D$14,'Route Plan'!$J$5:$J$77,"&lt;"&amp;EDATE(D$14,1))</f>
        <v>2</v>
      </c>
      <c r="E17" s="11">
        <f>COUNTIFS('Route Plan'!$C$5:$C$77,$A17,'Route Plan'!$I$5:$I$77,"&gt;0",'Route Plan'!$J$5:$J$77,"&gt;="&amp;E$14,'Route Plan'!$J$5:$J$77,"&lt;"&amp;EDATE(E$14,1))</f>
        <v>4</v>
      </c>
      <c r="F17" s="11">
        <f>COUNTIFS('Route Plan'!$C$5:$C$77,$A17,'Route Plan'!$I$5:$I$77,"&gt;0",'Route Plan'!$J$5:$J$77,"&gt;="&amp;F$14,'Route Plan'!$J$5:$J$77,"&lt;"&amp;EDATE(F$14,1))</f>
        <v>4</v>
      </c>
      <c r="G17" s="11">
        <f>COUNTIFS('Route Plan'!$C$5:$C$77,$A17,'Route Plan'!$I$5:$I$77,"&gt;0",'Route Plan'!$J$5:$J$77,"&gt;="&amp;G$14,'Route Plan'!$J$5:$J$77,"&lt;"&amp;EDATE(G$14,1))</f>
        <v>3</v>
      </c>
      <c r="H17" s="26">
        <f>SUM(B17:G17)</f>
        <v>16</v>
      </c>
    </row>
    <row r="18" spans="1:9" x14ac:dyDescent="0.2">
      <c r="A18" s="13" t="s">
        <v>17</v>
      </c>
      <c r="B18" s="15">
        <f>COUNTIFS('Route Plan'!$C$5:$C$77,$A18,'Route Plan'!$I$5:$I$77,"&gt;0",'Route Plan'!$J$5:$J$77,"&gt;="&amp;B$14,'Route Plan'!$J$5:$J$77,"&lt;"&amp;EDATE(B$14,1))</f>
        <v>1</v>
      </c>
      <c r="C18" s="15">
        <f>COUNTIFS('Route Plan'!$C$5:$C$77,$A18,'Route Plan'!$I$5:$I$77,"&gt;0",'Route Plan'!$J$5:$J$77,"&gt;="&amp;C$14,'Route Plan'!$J$5:$J$77,"&lt;"&amp;EDATE(C$14,1))</f>
        <v>2</v>
      </c>
      <c r="D18" s="15">
        <f>COUNTIFS('Route Plan'!$C$5:$C$77,$A18,'Route Plan'!$I$5:$I$77,"&gt;0",'Route Plan'!$J$5:$J$77,"&gt;="&amp;D$14,'Route Plan'!$J$5:$J$77,"&lt;"&amp;EDATE(D$14,1))</f>
        <v>2</v>
      </c>
      <c r="E18" s="15">
        <f>COUNTIFS('Route Plan'!$C$5:$C$77,$A18,'Route Plan'!$I$5:$I$77,"&gt;0",'Route Plan'!$J$5:$J$77,"&gt;="&amp;E$14,'Route Plan'!$J$5:$J$77,"&lt;"&amp;EDATE(E$14,1))</f>
        <v>4</v>
      </c>
      <c r="F18" s="15">
        <f>COUNTIFS('Route Plan'!$C$5:$C$77,$A18,'Route Plan'!$I$5:$I$77,"&gt;0",'Route Plan'!$J$5:$J$77,"&gt;="&amp;F$14,'Route Plan'!$J$5:$J$77,"&lt;"&amp;EDATE(F$14,1))</f>
        <v>4</v>
      </c>
      <c r="G18" s="15">
        <f>COUNTIFS('Route Plan'!$C$5:$C$77,$A18,'Route Plan'!$I$5:$I$77,"&gt;0",'Route Plan'!$J$5:$J$77,"&gt;="&amp;G$14,'Route Plan'!$J$5:$J$77,"&lt;"&amp;EDATE(G$14,1))</f>
        <v>2</v>
      </c>
      <c r="H18" s="26">
        <f>SUM(B18:G18)</f>
        <v>15</v>
      </c>
    </row>
    <row r="19" spans="1:9" x14ac:dyDescent="0.2">
      <c r="A19" s="17" t="s">
        <v>19</v>
      </c>
      <c r="B19" s="19">
        <f>COUNTIFS('Route Plan'!$C$5:$C$77,$A19,'Route Plan'!$I$5:$I$77,"&gt;0",'Route Plan'!$J$5:$J$77,"&gt;="&amp;B$14,'Route Plan'!$J$5:$J$77,"&lt;"&amp;EDATE(B$14,1))</f>
        <v>1</v>
      </c>
      <c r="C19" s="19">
        <f>COUNTIFS('Route Plan'!$C$5:$C$77,$A19,'Route Plan'!$I$5:$I$77,"&gt;0",'Route Plan'!$J$5:$J$77,"&gt;="&amp;C$14,'Route Plan'!$J$5:$J$77,"&lt;"&amp;EDATE(C$14,1))</f>
        <v>2</v>
      </c>
      <c r="D19" s="19">
        <f>COUNTIFS('Route Plan'!$C$5:$C$77,$A19,'Route Plan'!$I$5:$I$77,"&gt;0",'Route Plan'!$J$5:$J$77,"&gt;="&amp;D$14,'Route Plan'!$J$5:$J$77,"&lt;"&amp;EDATE(D$14,1))</f>
        <v>2</v>
      </c>
      <c r="E19" s="19">
        <f>COUNTIFS('Route Plan'!$C$5:$C$77,$A19,'Route Plan'!$I$5:$I$77,"&gt;0",'Route Plan'!$J$5:$J$77,"&gt;="&amp;E$14,'Route Plan'!$J$5:$J$77,"&lt;"&amp;EDATE(E$14,1))</f>
        <v>4</v>
      </c>
      <c r="F19" s="19">
        <f>COUNTIFS('Route Plan'!$C$5:$C$77,$A19,'Route Plan'!$I$5:$I$77,"&gt;0",'Route Plan'!$J$5:$J$77,"&gt;="&amp;F$14,'Route Plan'!$J$5:$J$77,"&lt;"&amp;EDATE(F$14,1))</f>
        <v>3</v>
      </c>
      <c r="G19" s="19">
        <f>COUNTIFS('Route Plan'!$C$5:$C$77,$A19,'Route Plan'!$I$5:$I$77,"&gt;0",'Route Plan'!$J$5:$J$77,"&gt;="&amp;G$14,'Route Plan'!$J$5:$J$77,"&lt;"&amp;EDATE(G$14,1))</f>
        <v>3</v>
      </c>
      <c r="H19" s="26">
        <f>SUM(B19:G19)</f>
        <v>15</v>
      </c>
    </row>
    <row r="20" spans="1:9" x14ac:dyDescent="0.2">
      <c r="A20" s="25" t="s">
        <v>25</v>
      </c>
      <c r="B20" s="26">
        <f t="shared" ref="B20:H20" si="0">SUM(B15:B19)</f>
        <v>5</v>
      </c>
      <c r="C20" s="26">
        <f t="shared" si="0"/>
        <v>8</v>
      </c>
      <c r="D20" s="26">
        <f t="shared" si="0"/>
        <v>8</v>
      </c>
      <c r="E20" s="26">
        <f t="shared" si="0"/>
        <v>16</v>
      </c>
      <c r="F20" s="26">
        <f t="shared" si="0"/>
        <v>15</v>
      </c>
      <c r="G20" s="26">
        <f t="shared" si="0"/>
        <v>11</v>
      </c>
      <c r="H20" s="26">
        <f t="shared" si="0"/>
        <v>63</v>
      </c>
    </row>
    <row r="22" spans="1:9" ht="16" x14ac:dyDescent="0.2">
      <c r="A22" s="30" t="s">
        <v>29</v>
      </c>
    </row>
    <row r="23" spans="1:9" ht="27.75" customHeight="1" x14ac:dyDescent="0.2">
      <c r="A23" s="64" t="s">
        <v>30</v>
      </c>
      <c r="B23" s="64"/>
      <c r="C23" s="64"/>
      <c r="D23" s="64"/>
      <c r="E23" s="64"/>
      <c r="F23" s="64"/>
      <c r="G23" s="64"/>
      <c r="H23" s="64"/>
      <c r="I23" s="64"/>
    </row>
    <row r="24" spans="1:9" ht="27.75" customHeight="1" x14ac:dyDescent="0.2">
      <c r="A24" s="64" t="s">
        <v>31</v>
      </c>
      <c r="B24" s="64"/>
      <c r="C24" s="64"/>
      <c r="D24" s="64"/>
      <c r="E24" s="64"/>
      <c r="F24" s="64"/>
      <c r="G24" s="64"/>
      <c r="H24" s="64"/>
      <c r="I24" s="64"/>
    </row>
    <row r="25" spans="1:9" ht="27.75" customHeight="1" x14ac:dyDescent="0.2">
      <c r="A25" s="64" t="s">
        <v>32</v>
      </c>
      <c r="B25" s="64"/>
      <c r="C25" s="64"/>
      <c r="D25" s="64"/>
      <c r="E25" s="64"/>
      <c r="F25" s="64"/>
      <c r="G25" s="64"/>
      <c r="H25" s="64"/>
      <c r="I25" s="64"/>
    </row>
    <row r="26" spans="1:9" ht="27.75" customHeight="1" x14ac:dyDescent="0.2">
      <c r="A26" s="64" t="s">
        <v>33</v>
      </c>
      <c r="B26" s="64"/>
      <c r="C26" s="64"/>
      <c r="D26" s="64"/>
      <c r="E26" s="64"/>
      <c r="F26" s="64"/>
      <c r="G26" s="64"/>
      <c r="H26" s="64"/>
      <c r="I26" s="64"/>
    </row>
    <row r="27" spans="1:9" ht="27.75" customHeight="1" x14ac:dyDescent="0.2">
      <c r="A27" s="64" t="s">
        <v>34</v>
      </c>
      <c r="B27" s="64"/>
      <c r="C27" s="64"/>
      <c r="D27" s="64"/>
      <c r="E27" s="64"/>
      <c r="F27" s="64"/>
      <c r="G27" s="64"/>
      <c r="H27" s="64"/>
      <c r="I27" s="64"/>
    </row>
    <row r="28" spans="1:9" ht="27.75" customHeight="1" x14ac:dyDescent="0.2">
      <c r="A28" s="64" t="s">
        <v>35</v>
      </c>
      <c r="B28" s="64"/>
      <c r="C28" s="64"/>
      <c r="D28" s="64"/>
      <c r="E28" s="64"/>
      <c r="F28" s="64"/>
      <c r="G28" s="64"/>
      <c r="H28" s="64"/>
      <c r="I28" s="64"/>
    </row>
    <row r="29" spans="1:9" ht="27.75" customHeight="1" x14ac:dyDescent="0.2">
      <c r="A29" s="64" t="s">
        <v>36</v>
      </c>
      <c r="B29" s="64"/>
      <c r="C29" s="64"/>
      <c r="D29" s="64"/>
      <c r="E29" s="64"/>
      <c r="F29" s="64"/>
      <c r="G29" s="64"/>
      <c r="H29" s="64"/>
      <c r="I29" s="64"/>
    </row>
    <row r="30" spans="1:9" ht="27.75" customHeight="1" x14ac:dyDescent="0.2">
      <c r="A30" s="64" t="s">
        <v>37</v>
      </c>
      <c r="B30" s="64"/>
      <c r="C30" s="64"/>
      <c r="D30" s="64"/>
      <c r="E30" s="64"/>
      <c r="F30" s="64"/>
      <c r="G30" s="64"/>
      <c r="H30" s="64"/>
      <c r="I30" s="64"/>
    </row>
  </sheetData>
  <mergeCells count="8">
    <mergeCell ref="A28:I28"/>
    <mergeCell ref="A29:I29"/>
    <mergeCell ref="A30:I30"/>
    <mergeCell ref="A23:I23"/>
    <mergeCell ref="A24:I24"/>
    <mergeCell ref="A25:I25"/>
    <mergeCell ref="A26:I26"/>
    <mergeCell ref="A27:I2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3"/>
  <sheetViews>
    <sheetView showGridLines="0" zoomScaleNormal="100" workbookViewId="0">
      <pane ySplit="4" topLeftCell="A23" activePane="bottomLeft" state="frozen"/>
      <selection pane="bottomLeft" activeCell="D25" sqref="D25"/>
    </sheetView>
  </sheetViews>
  <sheetFormatPr baseColWidth="10" defaultColWidth="8.6640625" defaultRowHeight="15" x14ac:dyDescent="0.2"/>
  <cols>
    <col min="1" max="2" width="12" customWidth="1"/>
    <col min="3" max="3" width="44" customWidth="1"/>
    <col min="4" max="4" width="26" customWidth="1"/>
    <col min="5" max="5" width="13" customWidth="1"/>
    <col min="6" max="6" width="70" customWidth="1"/>
  </cols>
  <sheetData>
    <row r="1" spans="1:6" ht="18" x14ac:dyDescent="0.2">
      <c r="A1" s="1" t="s">
        <v>38</v>
      </c>
    </row>
    <row r="2" spans="1:6" x14ac:dyDescent="0.2">
      <c r="A2" s="2" t="s">
        <v>39</v>
      </c>
    </row>
    <row r="4" spans="1:6" ht="30" customHeight="1" x14ac:dyDescent="0.2">
      <c r="A4" s="3" t="s">
        <v>40</v>
      </c>
      <c r="B4" s="3" t="s">
        <v>41</v>
      </c>
      <c r="C4" s="3" t="s">
        <v>42</v>
      </c>
      <c r="D4" s="3" t="s">
        <v>43</v>
      </c>
      <c r="E4" s="3" t="s">
        <v>44</v>
      </c>
      <c r="F4" s="3" t="s">
        <v>45</v>
      </c>
    </row>
    <row r="5" spans="1:6" x14ac:dyDescent="0.2">
      <c r="A5" s="32">
        <v>46297</v>
      </c>
      <c r="B5" s="33" t="str">
        <f t="shared" ref="B5:B33" si="0">TEXT(A5,"dddd")</f>
        <v>Friday</v>
      </c>
      <c r="C5" s="34" t="s">
        <v>46</v>
      </c>
      <c r="D5" s="34" t="s">
        <v>47</v>
      </c>
      <c r="E5" s="35" t="s">
        <v>48</v>
      </c>
      <c r="F5" s="34" t="s">
        <v>49</v>
      </c>
    </row>
    <row r="6" spans="1:6" x14ac:dyDescent="0.2">
      <c r="A6" s="32">
        <v>46314</v>
      </c>
      <c r="B6" s="33" t="str">
        <f t="shared" si="0"/>
        <v>Monday</v>
      </c>
      <c r="C6" s="34" t="s">
        <v>50</v>
      </c>
      <c r="D6" s="34" t="s">
        <v>47</v>
      </c>
      <c r="E6" s="35" t="s">
        <v>48</v>
      </c>
      <c r="F6" s="34" t="s">
        <v>51</v>
      </c>
    </row>
    <row r="7" spans="1:6" ht="28" x14ac:dyDescent="0.2">
      <c r="A7" s="32">
        <v>46315</v>
      </c>
      <c r="B7" s="33" t="str">
        <f t="shared" si="0"/>
        <v>Tuesday</v>
      </c>
      <c r="C7" s="34" t="s">
        <v>52</v>
      </c>
      <c r="D7" s="34" t="s">
        <v>47</v>
      </c>
      <c r="E7" s="35" t="s">
        <v>48</v>
      </c>
      <c r="F7" s="34" t="s">
        <v>53</v>
      </c>
    </row>
    <row r="8" spans="1:6" x14ac:dyDescent="0.2">
      <c r="A8" s="32">
        <v>46321</v>
      </c>
      <c r="B8" s="33" t="str">
        <f t="shared" si="0"/>
        <v>Monday</v>
      </c>
      <c r="C8" s="34" t="s">
        <v>54</v>
      </c>
      <c r="D8" s="34" t="s">
        <v>47</v>
      </c>
      <c r="E8" s="35" t="s">
        <v>48</v>
      </c>
      <c r="F8" s="34" t="s">
        <v>55</v>
      </c>
    </row>
    <row r="9" spans="1:6" x14ac:dyDescent="0.2">
      <c r="A9" s="32">
        <v>46324</v>
      </c>
      <c r="B9" s="33" t="str">
        <f t="shared" si="0"/>
        <v>Thursday</v>
      </c>
      <c r="C9" s="34" t="s">
        <v>56</v>
      </c>
      <c r="D9" s="34" t="s">
        <v>57</v>
      </c>
      <c r="E9" s="35" t="s">
        <v>58</v>
      </c>
      <c r="F9" s="34" t="s">
        <v>59</v>
      </c>
    </row>
    <row r="10" spans="1:6" x14ac:dyDescent="0.2">
      <c r="A10" s="32">
        <v>46326</v>
      </c>
      <c r="B10" s="33" t="str">
        <f t="shared" si="0"/>
        <v>Saturday</v>
      </c>
      <c r="C10" s="34" t="s">
        <v>60</v>
      </c>
      <c r="D10" s="34" t="s">
        <v>47</v>
      </c>
      <c r="E10" s="35" t="s">
        <v>48</v>
      </c>
      <c r="F10" s="34" t="s">
        <v>61</v>
      </c>
    </row>
    <row r="11" spans="1:6" x14ac:dyDescent="0.2">
      <c r="A11" s="32">
        <v>46332</v>
      </c>
      <c r="B11" s="33" t="str">
        <f t="shared" si="0"/>
        <v>Friday</v>
      </c>
      <c r="C11" s="34" t="s">
        <v>62</v>
      </c>
      <c r="D11" s="34" t="s">
        <v>63</v>
      </c>
      <c r="E11" s="35" t="s">
        <v>48</v>
      </c>
      <c r="F11" s="34" t="s">
        <v>64</v>
      </c>
    </row>
    <row r="12" spans="1:6" x14ac:dyDescent="0.2">
      <c r="A12" s="32">
        <v>46333</v>
      </c>
      <c r="B12" s="33" t="str">
        <f t="shared" si="0"/>
        <v>Saturday</v>
      </c>
      <c r="C12" s="34" t="s">
        <v>65</v>
      </c>
      <c r="D12" s="34" t="s">
        <v>66</v>
      </c>
      <c r="E12" s="35" t="s">
        <v>48</v>
      </c>
      <c r="F12" s="34" t="s">
        <v>67</v>
      </c>
    </row>
    <row r="13" spans="1:6" x14ac:dyDescent="0.2">
      <c r="A13" s="32">
        <v>46334</v>
      </c>
      <c r="B13" s="33" t="str">
        <f t="shared" si="0"/>
        <v>Sunday</v>
      </c>
      <c r="C13" s="34" t="s">
        <v>68</v>
      </c>
      <c r="D13" s="34" t="s">
        <v>47</v>
      </c>
      <c r="E13" s="35" t="s">
        <v>48</v>
      </c>
      <c r="F13" s="34" t="s">
        <v>69</v>
      </c>
    </row>
    <row r="14" spans="1:6" x14ac:dyDescent="0.2">
      <c r="A14" s="32">
        <v>46335</v>
      </c>
      <c r="B14" s="33" t="str">
        <f t="shared" si="0"/>
        <v>Monday</v>
      </c>
      <c r="C14" s="34" t="s">
        <v>70</v>
      </c>
      <c r="D14" s="34" t="s">
        <v>47</v>
      </c>
      <c r="E14" s="35" t="s">
        <v>48</v>
      </c>
      <c r="F14" s="34" t="s">
        <v>71</v>
      </c>
    </row>
    <row r="15" spans="1:6" x14ac:dyDescent="0.2">
      <c r="A15" s="32">
        <v>46337</v>
      </c>
      <c r="B15" s="33" t="str">
        <f t="shared" si="0"/>
        <v>Wednesday</v>
      </c>
      <c r="C15" s="34" t="s">
        <v>72</v>
      </c>
      <c r="D15" s="34" t="s">
        <v>47</v>
      </c>
      <c r="E15" s="35" t="s">
        <v>48</v>
      </c>
      <c r="F15" s="34" t="s">
        <v>73</v>
      </c>
    </row>
    <row r="16" spans="1:6" x14ac:dyDescent="0.2">
      <c r="A16" s="32">
        <v>46341</v>
      </c>
      <c r="B16" s="33" t="str">
        <f t="shared" si="0"/>
        <v>Sunday</v>
      </c>
      <c r="C16" s="34" t="s">
        <v>74</v>
      </c>
      <c r="D16" s="34" t="s">
        <v>57</v>
      </c>
      <c r="E16" s="35" t="s">
        <v>58</v>
      </c>
      <c r="F16" s="34" t="s">
        <v>75</v>
      </c>
    </row>
    <row r="17" spans="1:6" x14ac:dyDescent="0.2">
      <c r="A17" s="32">
        <v>46342</v>
      </c>
      <c r="B17" s="33" t="str">
        <f t="shared" si="0"/>
        <v>Monday</v>
      </c>
      <c r="C17" s="34" t="s">
        <v>76</v>
      </c>
      <c r="D17" s="34" t="s">
        <v>66</v>
      </c>
      <c r="E17" s="35" t="s">
        <v>58</v>
      </c>
      <c r="F17" s="34" t="s">
        <v>77</v>
      </c>
    </row>
    <row r="18" spans="1:6" x14ac:dyDescent="0.2">
      <c r="A18" s="32">
        <v>46350</v>
      </c>
      <c r="B18" s="33" t="str">
        <f t="shared" si="0"/>
        <v>Tuesday</v>
      </c>
      <c r="C18" s="34" t="s">
        <v>78</v>
      </c>
      <c r="D18" s="34" t="s">
        <v>47</v>
      </c>
      <c r="E18" s="35" t="s">
        <v>48</v>
      </c>
      <c r="F18" s="34" t="s">
        <v>79</v>
      </c>
    </row>
    <row r="19" spans="1:6" x14ac:dyDescent="0.2">
      <c r="A19" s="32">
        <v>46379</v>
      </c>
      <c r="B19" s="33" t="str">
        <f t="shared" si="0"/>
        <v>Wednesday</v>
      </c>
      <c r="C19" s="34" t="s">
        <v>80</v>
      </c>
      <c r="D19" s="34" t="s">
        <v>47</v>
      </c>
      <c r="E19" s="35" t="s">
        <v>48</v>
      </c>
      <c r="F19" s="34" t="s">
        <v>81</v>
      </c>
    </row>
    <row r="20" spans="1:6" x14ac:dyDescent="0.2">
      <c r="A20" s="32">
        <v>46380</v>
      </c>
      <c r="B20" s="33" t="str">
        <f t="shared" si="0"/>
        <v>Thursday</v>
      </c>
      <c r="C20" s="34" t="s">
        <v>82</v>
      </c>
      <c r="D20" s="34" t="s">
        <v>57</v>
      </c>
      <c r="E20" s="35" t="s">
        <v>58</v>
      </c>
      <c r="F20" s="34"/>
    </row>
    <row r="21" spans="1:6" x14ac:dyDescent="0.2">
      <c r="A21" s="32">
        <v>46381</v>
      </c>
      <c r="B21" s="33" t="str">
        <f t="shared" si="0"/>
        <v>Friday</v>
      </c>
      <c r="C21" s="34" t="s">
        <v>83</v>
      </c>
      <c r="D21" s="34" t="s">
        <v>47</v>
      </c>
      <c r="E21" s="35" t="s">
        <v>48</v>
      </c>
      <c r="F21" s="34" t="s">
        <v>84</v>
      </c>
    </row>
    <row r="22" spans="1:6" x14ac:dyDescent="0.2">
      <c r="A22" s="32">
        <v>46388</v>
      </c>
      <c r="B22" s="33" t="str">
        <f t="shared" si="0"/>
        <v>Friday</v>
      </c>
      <c r="C22" s="34" t="s">
        <v>85</v>
      </c>
      <c r="D22" s="34" t="s">
        <v>57</v>
      </c>
      <c r="E22" s="35" t="s">
        <v>58</v>
      </c>
      <c r="F22" s="34" t="s">
        <v>86</v>
      </c>
    </row>
    <row r="23" spans="1:6" ht="28" x14ac:dyDescent="0.2">
      <c r="A23" s="32">
        <v>46401</v>
      </c>
      <c r="B23" s="33" t="str">
        <f t="shared" si="0"/>
        <v>Thursday</v>
      </c>
      <c r="C23" s="34" t="s">
        <v>87</v>
      </c>
      <c r="D23" s="34" t="s">
        <v>57</v>
      </c>
      <c r="E23" s="35" t="s">
        <v>58</v>
      </c>
      <c r="F23" s="34" t="s">
        <v>88</v>
      </c>
    </row>
    <row r="24" spans="1:6" x14ac:dyDescent="0.2">
      <c r="A24" s="32">
        <v>46413</v>
      </c>
      <c r="B24" s="33" t="str">
        <f t="shared" si="0"/>
        <v>Tuesday</v>
      </c>
      <c r="C24" s="34" t="s">
        <v>89</v>
      </c>
      <c r="D24" s="34" t="s">
        <v>90</v>
      </c>
      <c r="E24" s="35" t="s">
        <v>48</v>
      </c>
      <c r="F24" s="34" t="s">
        <v>79</v>
      </c>
    </row>
    <row r="25" spans="1:6" x14ac:dyDescent="0.2">
      <c r="A25" s="32">
        <v>46429</v>
      </c>
      <c r="B25" s="33" t="str">
        <f t="shared" si="0"/>
        <v>Thursday</v>
      </c>
      <c r="C25" s="34" t="s">
        <v>91</v>
      </c>
      <c r="D25" s="34" t="s">
        <v>57</v>
      </c>
      <c r="E25" s="35" t="s">
        <v>58</v>
      </c>
      <c r="F25" s="34" t="s">
        <v>92</v>
      </c>
    </row>
    <row r="26" spans="1:6" x14ac:dyDescent="0.2">
      <c r="A26" s="32">
        <v>46438</v>
      </c>
      <c r="B26" s="33" t="str">
        <f t="shared" si="0"/>
        <v>Saturday</v>
      </c>
      <c r="C26" s="34" t="s">
        <v>93</v>
      </c>
      <c r="D26" s="34" t="s">
        <v>47</v>
      </c>
      <c r="E26" s="35" t="s">
        <v>48</v>
      </c>
      <c r="F26" s="34" t="s">
        <v>61</v>
      </c>
    </row>
    <row r="27" spans="1:6" x14ac:dyDescent="0.2">
      <c r="A27" s="32">
        <v>46452</v>
      </c>
      <c r="B27" s="33" t="str">
        <f t="shared" si="0"/>
        <v>Saturday</v>
      </c>
      <c r="C27" s="34" t="s">
        <v>94</v>
      </c>
      <c r="D27" s="34" t="s">
        <v>47</v>
      </c>
      <c r="E27" s="35" t="s">
        <v>48</v>
      </c>
      <c r="F27" s="34" t="s">
        <v>61</v>
      </c>
    </row>
    <row r="28" spans="1:6" x14ac:dyDescent="0.2">
      <c r="A28" s="32">
        <v>46455</v>
      </c>
      <c r="B28" s="33" t="str">
        <f t="shared" si="0"/>
        <v>Tuesday</v>
      </c>
      <c r="C28" s="34" t="s">
        <v>95</v>
      </c>
      <c r="D28" s="34" t="s">
        <v>47</v>
      </c>
      <c r="E28" s="35" t="s">
        <v>48</v>
      </c>
      <c r="F28" s="34" t="s">
        <v>96</v>
      </c>
    </row>
    <row r="29" spans="1:6" x14ac:dyDescent="0.2">
      <c r="A29" s="32">
        <v>46467</v>
      </c>
      <c r="B29" s="33" t="str">
        <f t="shared" si="0"/>
        <v>Sunday</v>
      </c>
      <c r="C29" s="34" t="s">
        <v>97</v>
      </c>
      <c r="D29" s="34" t="s">
        <v>47</v>
      </c>
      <c r="E29" s="35" t="s">
        <v>48</v>
      </c>
      <c r="F29" s="34" t="s">
        <v>69</v>
      </c>
    </row>
    <row r="30" spans="1:6" x14ac:dyDescent="0.2">
      <c r="A30" s="32">
        <v>46468</v>
      </c>
      <c r="B30" s="33" t="str">
        <f t="shared" si="0"/>
        <v>Monday</v>
      </c>
      <c r="C30" s="34" t="s">
        <v>98</v>
      </c>
      <c r="D30" s="34" t="s">
        <v>47</v>
      </c>
      <c r="E30" s="35" t="s">
        <v>48</v>
      </c>
      <c r="F30" s="34" t="s">
        <v>99</v>
      </c>
    </row>
    <row r="31" spans="1:6" x14ac:dyDescent="0.2">
      <c r="A31" s="32">
        <v>46472</v>
      </c>
      <c r="B31" s="33" t="str">
        <f t="shared" si="0"/>
        <v>Friday</v>
      </c>
      <c r="C31" s="34" t="s">
        <v>100</v>
      </c>
      <c r="D31" s="34" t="s">
        <v>47</v>
      </c>
      <c r="E31" s="35" t="s">
        <v>48</v>
      </c>
      <c r="F31" s="34" t="s">
        <v>101</v>
      </c>
    </row>
    <row r="32" spans="1:6" x14ac:dyDescent="0.2">
      <c r="A32" s="32">
        <v>46491</v>
      </c>
      <c r="B32" s="33" t="str">
        <f t="shared" si="0"/>
        <v>Wednesday</v>
      </c>
      <c r="C32" s="34" t="s">
        <v>102</v>
      </c>
      <c r="D32" s="34" t="s">
        <v>47</v>
      </c>
      <c r="E32" s="35" t="s">
        <v>48</v>
      </c>
      <c r="F32" s="34" t="s">
        <v>103</v>
      </c>
    </row>
    <row r="33" spans="1:6" x14ac:dyDescent="0.2">
      <c r="A33" s="32">
        <v>46492</v>
      </c>
      <c r="B33" s="33" t="str">
        <f t="shared" si="0"/>
        <v>Thursday</v>
      </c>
      <c r="C33" s="34" t="s">
        <v>104</v>
      </c>
      <c r="D33" s="34" t="s">
        <v>47</v>
      </c>
      <c r="E33" s="35" t="s">
        <v>48</v>
      </c>
      <c r="F33" s="3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79"/>
  <sheetViews>
    <sheetView showGridLines="0" tabSelected="1" zoomScaleNormal="100" workbookViewId="0">
      <pane xSplit="8" topLeftCell="J1" activePane="topRight" state="frozen"/>
      <selection pane="topRight" activeCell="O53" sqref="O53"/>
    </sheetView>
  </sheetViews>
  <sheetFormatPr baseColWidth="10" defaultColWidth="8.6640625" defaultRowHeight="15" x14ac:dyDescent="0.2"/>
  <cols>
    <col min="1" max="1" width="6" customWidth="1"/>
    <col min="2" max="2" width="20" customWidth="1"/>
    <col min="3" max="3" width="24" hidden="1" customWidth="1"/>
    <col min="4" max="4" width="30" hidden="1" customWidth="1"/>
    <col min="5" max="5" width="7" hidden="1" customWidth="1"/>
    <col min="6" max="6" width="13" customWidth="1"/>
    <col min="7" max="7" width="24" hidden="1" customWidth="1"/>
    <col min="8" max="8" width="24.1640625" customWidth="1"/>
    <col min="9" max="9" width="9" customWidth="1"/>
    <col min="10" max="10" width="17" customWidth="1"/>
    <col min="11" max="11" width="11" customWidth="1"/>
    <col min="12" max="12" width="17" customWidth="1"/>
    <col min="13" max="13" width="18" customWidth="1"/>
    <col min="14" max="14" width="13.6640625" customWidth="1"/>
    <col min="15" max="15" width="26" customWidth="1"/>
    <col min="16" max="16" width="32" customWidth="1"/>
    <col min="17" max="17" width="13" customWidth="1"/>
    <col min="18" max="18" width="15" customWidth="1"/>
    <col min="19" max="19" width="20" customWidth="1"/>
    <col min="20" max="20" width="18" customWidth="1"/>
    <col min="21" max="21" width="20" customWidth="1"/>
    <col min="22" max="22" width="15" customWidth="1"/>
    <col min="23" max="23" width="10" customWidth="1"/>
    <col min="24" max="24" width="48" customWidth="1"/>
    <col min="25" max="25" width="12" customWidth="1"/>
    <col min="26" max="26" width="30" customWidth="1"/>
  </cols>
  <sheetData>
    <row r="1" spans="1:26" ht="18" x14ac:dyDescent="0.2">
      <c r="A1" s="1" t="s">
        <v>105</v>
      </c>
    </row>
    <row r="2" spans="1:26" x14ac:dyDescent="0.2">
      <c r="A2" s="2" t="s">
        <v>106</v>
      </c>
    </row>
    <row r="4" spans="1:26" ht="30" customHeight="1" x14ac:dyDescent="0.2">
      <c r="A4" s="3" t="s">
        <v>107</v>
      </c>
      <c r="B4" s="3" t="s">
        <v>108</v>
      </c>
      <c r="C4" s="3" t="s">
        <v>2</v>
      </c>
      <c r="D4" s="3" t="s">
        <v>3</v>
      </c>
      <c r="E4" s="3" t="s">
        <v>109</v>
      </c>
      <c r="F4" s="3" t="s">
        <v>110</v>
      </c>
      <c r="G4" s="3" t="s">
        <v>111</v>
      </c>
      <c r="H4" s="3" t="s">
        <v>7</v>
      </c>
      <c r="I4" s="3" t="s">
        <v>112</v>
      </c>
      <c r="J4" s="3" t="s">
        <v>113</v>
      </c>
      <c r="K4" s="3" t="s">
        <v>41</v>
      </c>
      <c r="L4" s="3" t="s">
        <v>114</v>
      </c>
      <c r="M4" s="3" t="s">
        <v>115</v>
      </c>
      <c r="N4" s="3" t="s">
        <v>116</v>
      </c>
      <c r="O4" s="3" t="s">
        <v>117</v>
      </c>
      <c r="P4" s="3" t="s">
        <v>118</v>
      </c>
      <c r="Q4" s="3" t="s">
        <v>119</v>
      </c>
      <c r="R4" s="3" t="s">
        <v>120</v>
      </c>
      <c r="S4" s="3" t="s">
        <v>121</v>
      </c>
      <c r="T4" s="3" t="s">
        <v>122</v>
      </c>
      <c r="U4" s="3" t="s">
        <v>123</v>
      </c>
      <c r="V4" s="3" t="s">
        <v>124</v>
      </c>
      <c r="W4" s="3" t="s">
        <v>125</v>
      </c>
      <c r="X4" s="3" t="s">
        <v>126</v>
      </c>
      <c r="Y4" s="3" t="s">
        <v>127</v>
      </c>
      <c r="Z4" s="3" t="s">
        <v>128</v>
      </c>
    </row>
    <row r="5" spans="1:26" ht="42" x14ac:dyDescent="0.2">
      <c r="A5" s="23">
        <v>1</v>
      </c>
      <c r="B5" s="22" t="s">
        <v>129</v>
      </c>
      <c r="C5" s="22" t="s">
        <v>21</v>
      </c>
      <c r="D5" s="22" t="s">
        <v>22</v>
      </c>
      <c r="E5" s="23" t="s">
        <v>130</v>
      </c>
      <c r="F5" s="22" t="s">
        <v>131</v>
      </c>
      <c r="G5" s="21" t="s">
        <v>131</v>
      </c>
      <c r="H5" s="22" t="s">
        <v>131</v>
      </c>
      <c r="I5" s="23">
        <v>1</v>
      </c>
      <c r="J5" s="36">
        <v>46318</v>
      </c>
      <c r="K5" s="23" t="str">
        <f t="shared" ref="K5:K36" si="0">TEXT(J5,"dddd")</f>
        <v>Friday</v>
      </c>
      <c r="L5" s="36">
        <f t="shared" ref="L5:L36" si="1">J5-4</f>
        <v>46314</v>
      </c>
      <c r="M5" s="22" t="s">
        <v>132</v>
      </c>
      <c r="N5" s="37"/>
      <c r="O5" s="22" t="str">
        <f>IFERROR(INDEX('Friday Calendar'!$M:$M,MATCH(Y5,'Friday Calendar'!$A:$A,0)),"Not a Friday week – check")</f>
        <v>YATRA DAY</v>
      </c>
      <c r="P5" s="22" t="s">
        <v>133</v>
      </c>
      <c r="Q5" s="22" t="s">
        <v>134</v>
      </c>
      <c r="R5" s="22" t="s">
        <v>135</v>
      </c>
      <c r="S5" s="22" t="s">
        <v>136</v>
      </c>
      <c r="T5" s="6"/>
      <c r="U5" s="6"/>
      <c r="V5" s="23" t="s">
        <v>137</v>
      </c>
      <c r="W5" s="23" t="s">
        <v>138</v>
      </c>
      <c r="X5" s="22" t="s">
        <v>139</v>
      </c>
      <c r="Y5" s="38">
        <f t="shared" ref="Y5:Y36" si="2">J5-IF(WEEKDAY(J5,2)=6,1,0)</f>
        <v>46318</v>
      </c>
      <c r="Z5" s="22" t="str">
        <f t="shared" ref="Z5:Z36" si="3">C5&amp;"|"&amp;Y5</f>
        <v>Joint (All 4)|46318</v>
      </c>
    </row>
    <row r="6" spans="1:26" ht="28" x14ac:dyDescent="0.2">
      <c r="A6" s="7">
        <v>2</v>
      </c>
      <c r="B6" s="5" t="s">
        <v>140</v>
      </c>
      <c r="C6" s="5" t="s">
        <v>12</v>
      </c>
      <c r="D6" s="5" t="s">
        <v>13</v>
      </c>
      <c r="E6" s="7" t="s">
        <v>141</v>
      </c>
      <c r="F6" s="5" t="s">
        <v>142</v>
      </c>
      <c r="G6" s="4" t="s">
        <v>142</v>
      </c>
      <c r="H6" s="5" t="s">
        <v>142</v>
      </c>
      <c r="I6" s="7">
        <v>1</v>
      </c>
      <c r="J6" s="39">
        <v>46325</v>
      </c>
      <c r="K6" s="7" t="str">
        <f t="shared" si="0"/>
        <v>Friday</v>
      </c>
      <c r="L6" s="39">
        <f t="shared" si="1"/>
        <v>46321</v>
      </c>
      <c r="M6" s="5" t="s">
        <v>131</v>
      </c>
      <c r="N6" s="40">
        <v>250</v>
      </c>
      <c r="O6" s="5" t="str">
        <f>IFERROR(INDEX('Friday Calendar'!$M:$M,MATCH(Y6,'Friday Calendar'!$A:$A,0)),"Not a Friday week – check")</f>
        <v>YATRA DAY – CAUTION</v>
      </c>
      <c r="P6" s="5" t="s">
        <v>143</v>
      </c>
      <c r="Q6" s="5" t="s">
        <v>134</v>
      </c>
      <c r="R6" s="5" t="s">
        <v>135</v>
      </c>
      <c r="S6" s="5" t="s">
        <v>136</v>
      </c>
      <c r="T6" s="6"/>
      <c r="U6" s="6"/>
      <c r="V6" s="7" t="s">
        <v>137</v>
      </c>
      <c r="W6" s="7" t="s">
        <v>138</v>
      </c>
      <c r="X6" s="5" t="s">
        <v>144</v>
      </c>
      <c r="Y6" s="41">
        <f t="shared" si="2"/>
        <v>46325</v>
      </c>
      <c r="Z6" s="5" t="str">
        <f t="shared" si="3"/>
        <v>Team 1 – West|46325</v>
      </c>
    </row>
    <row r="7" spans="1:26" ht="28" x14ac:dyDescent="0.2">
      <c r="A7" s="7">
        <v>3</v>
      </c>
      <c r="B7" s="5" t="s">
        <v>145</v>
      </c>
      <c r="C7" s="5" t="s">
        <v>12</v>
      </c>
      <c r="D7" s="5" t="s">
        <v>13</v>
      </c>
      <c r="E7" s="7" t="s">
        <v>146</v>
      </c>
      <c r="F7" s="5" t="s">
        <v>142</v>
      </c>
      <c r="G7" s="4" t="s">
        <v>147</v>
      </c>
      <c r="H7" s="5" t="s">
        <v>147</v>
      </c>
      <c r="I7" s="7">
        <v>1</v>
      </c>
      <c r="J7" s="39">
        <v>46346</v>
      </c>
      <c r="K7" s="7" t="str">
        <f t="shared" si="0"/>
        <v>Friday</v>
      </c>
      <c r="L7" s="39">
        <f t="shared" si="1"/>
        <v>46342</v>
      </c>
      <c r="M7" s="5" t="s">
        <v>132</v>
      </c>
      <c r="N7" s="40"/>
      <c r="O7" s="5" t="str">
        <f>IFERROR(INDEX('Friday Calendar'!$M:$M,MATCH(Y7,'Friday Calendar'!$A:$A,0)),"Not a Friday week – check")</f>
        <v>YATRA DAY</v>
      </c>
      <c r="P7" s="5" t="s">
        <v>143</v>
      </c>
      <c r="Q7" s="5" t="s">
        <v>134</v>
      </c>
      <c r="R7" s="5" t="s">
        <v>135</v>
      </c>
      <c r="S7" s="5" t="s">
        <v>136</v>
      </c>
      <c r="T7" s="6"/>
      <c r="U7" s="6"/>
      <c r="V7" s="7" t="s">
        <v>137</v>
      </c>
      <c r="W7" s="7" t="s">
        <v>138</v>
      </c>
      <c r="X7" s="5" t="s">
        <v>148</v>
      </c>
      <c r="Y7" s="41">
        <f t="shared" si="2"/>
        <v>46346</v>
      </c>
      <c r="Z7" s="5" t="str">
        <f t="shared" si="3"/>
        <v>Team 1 – West|46346</v>
      </c>
    </row>
    <row r="8" spans="1:26" ht="28" x14ac:dyDescent="0.2">
      <c r="A8" s="7">
        <v>4</v>
      </c>
      <c r="B8" s="5" t="s">
        <v>145</v>
      </c>
      <c r="C8" s="5" t="s">
        <v>12</v>
      </c>
      <c r="D8" s="5" t="s">
        <v>13</v>
      </c>
      <c r="E8" s="7" t="s">
        <v>149</v>
      </c>
      <c r="F8" s="5" t="s">
        <v>142</v>
      </c>
      <c r="G8" s="4" t="s">
        <v>150</v>
      </c>
      <c r="H8" s="5" t="s">
        <v>150</v>
      </c>
      <c r="I8" s="7">
        <v>1</v>
      </c>
      <c r="J8" s="39">
        <v>46353</v>
      </c>
      <c r="K8" s="7" t="str">
        <f t="shared" si="0"/>
        <v>Friday</v>
      </c>
      <c r="L8" s="39">
        <f t="shared" si="1"/>
        <v>46349</v>
      </c>
      <c r="M8" s="5" t="s">
        <v>147</v>
      </c>
      <c r="N8" s="40">
        <v>80</v>
      </c>
      <c r="O8" s="5" t="str">
        <f>IFERROR(INDEX('Friday Calendar'!$M:$M,MATCH(Y8,'Friday Calendar'!$A:$A,0)),"Not a Friday week – check")</f>
        <v>YATRA DAY</v>
      </c>
      <c r="P8" s="5" t="s">
        <v>151</v>
      </c>
      <c r="Q8" s="5" t="s">
        <v>134</v>
      </c>
      <c r="R8" s="5" t="s">
        <v>135</v>
      </c>
      <c r="S8" s="5" t="s">
        <v>136</v>
      </c>
      <c r="T8" s="6"/>
      <c r="U8" s="6"/>
      <c r="V8" s="7" t="s">
        <v>137</v>
      </c>
      <c r="W8" s="7" t="s">
        <v>138</v>
      </c>
      <c r="X8" s="5"/>
      <c r="Y8" s="41">
        <f t="shared" si="2"/>
        <v>46353</v>
      </c>
      <c r="Z8" s="5" t="str">
        <f t="shared" si="3"/>
        <v>Team 1 – West|46353</v>
      </c>
    </row>
    <row r="9" spans="1:26" ht="28" x14ac:dyDescent="0.2">
      <c r="A9" s="7">
        <v>5</v>
      </c>
      <c r="B9" s="5" t="s">
        <v>145</v>
      </c>
      <c r="C9" s="5" t="s">
        <v>12</v>
      </c>
      <c r="D9" s="5" t="s">
        <v>13</v>
      </c>
      <c r="E9" s="7" t="s">
        <v>152</v>
      </c>
      <c r="F9" s="5" t="s">
        <v>153</v>
      </c>
      <c r="G9" s="4" t="s">
        <v>154</v>
      </c>
      <c r="H9" s="5" t="s">
        <v>154</v>
      </c>
      <c r="I9" s="7">
        <v>1</v>
      </c>
      <c r="J9" s="39">
        <v>46360</v>
      </c>
      <c r="K9" s="7" t="str">
        <f t="shared" si="0"/>
        <v>Friday</v>
      </c>
      <c r="L9" s="39">
        <f t="shared" si="1"/>
        <v>46356</v>
      </c>
      <c r="M9" s="5" t="s">
        <v>150</v>
      </c>
      <c r="N9" s="40">
        <v>110</v>
      </c>
      <c r="O9" s="5" t="str">
        <f>IFERROR(INDEX('Friday Calendar'!$M:$M,MATCH(Y9,'Friday Calendar'!$A:$A,0)),"Not a Friday week – check")</f>
        <v>YATRA DAY</v>
      </c>
      <c r="P9" s="5" t="s">
        <v>143</v>
      </c>
      <c r="Q9" s="5" t="s">
        <v>134</v>
      </c>
      <c r="R9" s="5" t="s">
        <v>135</v>
      </c>
      <c r="S9" s="5" t="s">
        <v>136</v>
      </c>
      <c r="T9" s="6"/>
      <c r="U9" s="6"/>
      <c r="V9" s="7" t="s">
        <v>137</v>
      </c>
      <c r="W9" s="7" t="s">
        <v>138</v>
      </c>
      <c r="X9" s="5"/>
      <c r="Y9" s="41">
        <f t="shared" si="2"/>
        <v>46360</v>
      </c>
      <c r="Z9" s="5" t="str">
        <f t="shared" si="3"/>
        <v>Team 1 – West|46360</v>
      </c>
    </row>
    <row r="10" spans="1:26" ht="28" x14ac:dyDescent="0.2">
      <c r="A10" s="7">
        <v>6</v>
      </c>
      <c r="B10" s="5" t="s">
        <v>145</v>
      </c>
      <c r="C10" s="5" t="s">
        <v>12</v>
      </c>
      <c r="D10" s="5" t="s">
        <v>13</v>
      </c>
      <c r="E10" s="7" t="s">
        <v>155</v>
      </c>
      <c r="F10" s="5" t="s">
        <v>153</v>
      </c>
      <c r="G10" s="4" t="s">
        <v>153</v>
      </c>
      <c r="H10" s="5" t="s">
        <v>153</v>
      </c>
      <c r="I10" s="7">
        <v>1</v>
      </c>
      <c r="J10" s="39">
        <v>46367</v>
      </c>
      <c r="K10" s="7" t="str">
        <f t="shared" si="0"/>
        <v>Friday</v>
      </c>
      <c r="L10" s="39">
        <f t="shared" si="1"/>
        <v>46363</v>
      </c>
      <c r="M10" s="5" t="s">
        <v>154</v>
      </c>
      <c r="N10" s="40">
        <v>30</v>
      </c>
      <c r="O10" s="5" t="str">
        <f>IFERROR(INDEX('Friday Calendar'!$M:$M,MATCH(Y10,'Friday Calendar'!$A:$A,0)),"Not a Friday week – check")</f>
        <v>YATRA DAY</v>
      </c>
      <c r="P10" s="5" t="s">
        <v>143</v>
      </c>
      <c r="Q10" s="5" t="s">
        <v>134</v>
      </c>
      <c r="R10" s="5" t="s">
        <v>135</v>
      </c>
      <c r="S10" s="5" t="s">
        <v>136</v>
      </c>
      <c r="T10" s="6"/>
      <c r="U10" s="6"/>
      <c r="V10" s="7" t="s">
        <v>137</v>
      </c>
      <c r="W10" s="7" t="s">
        <v>138</v>
      </c>
      <c r="X10" s="5"/>
      <c r="Y10" s="41">
        <f t="shared" si="2"/>
        <v>46367</v>
      </c>
      <c r="Z10" s="5" t="str">
        <f t="shared" si="3"/>
        <v>Team 1 – West|46367</v>
      </c>
    </row>
    <row r="11" spans="1:26" ht="28" x14ac:dyDescent="0.2">
      <c r="A11" s="7">
        <v>7</v>
      </c>
      <c r="B11" s="5" t="s">
        <v>156</v>
      </c>
      <c r="C11" s="5" t="s">
        <v>12</v>
      </c>
      <c r="D11" s="5" t="s">
        <v>13</v>
      </c>
      <c r="E11" s="7" t="s">
        <v>157</v>
      </c>
      <c r="F11" s="5" t="s">
        <v>24</v>
      </c>
      <c r="G11" s="4" t="s">
        <v>158</v>
      </c>
      <c r="H11" s="5" t="s">
        <v>159</v>
      </c>
      <c r="I11" s="7">
        <v>0</v>
      </c>
      <c r="J11" s="39">
        <v>46374</v>
      </c>
      <c r="K11" s="7" t="str">
        <f t="shared" si="0"/>
        <v>Friday</v>
      </c>
      <c r="L11" s="39">
        <f t="shared" si="1"/>
        <v>46370</v>
      </c>
      <c r="M11" s="5" t="s">
        <v>24</v>
      </c>
      <c r="N11" s="40"/>
      <c r="O11" s="5" t="str">
        <f>IFERROR(INDEX('Friday Calendar'!$M:$M,MATCH(Y11,'Friday Calendar'!$A:$A,0)),"Not a Friday week – check")</f>
        <v>YATRA DAY</v>
      </c>
      <c r="P11" s="5" t="s">
        <v>24</v>
      </c>
      <c r="Q11" s="5" t="s">
        <v>24</v>
      </c>
      <c r="R11" s="5" t="s">
        <v>24</v>
      </c>
      <c r="S11" s="5" t="s">
        <v>24</v>
      </c>
      <c r="T11" s="6" t="s">
        <v>24</v>
      </c>
      <c r="U11" s="6" t="s">
        <v>24</v>
      </c>
      <c r="V11" s="7" t="s">
        <v>24</v>
      </c>
      <c r="W11" s="7" t="s">
        <v>156</v>
      </c>
      <c r="X11" s="5" t="s">
        <v>160</v>
      </c>
      <c r="Y11" s="41">
        <f t="shared" si="2"/>
        <v>46374</v>
      </c>
      <c r="Z11" s="5" t="str">
        <f t="shared" si="3"/>
        <v>Team 1 – West|46374</v>
      </c>
    </row>
    <row r="12" spans="1:26" ht="28" x14ac:dyDescent="0.2">
      <c r="A12" s="7">
        <v>8</v>
      </c>
      <c r="B12" s="5" t="s">
        <v>161</v>
      </c>
      <c r="C12" s="5" t="s">
        <v>12</v>
      </c>
      <c r="D12" s="5" t="s">
        <v>13</v>
      </c>
      <c r="E12" s="7" t="s">
        <v>162</v>
      </c>
      <c r="F12" s="5" t="s">
        <v>163</v>
      </c>
      <c r="G12" s="4" t="s">
        <v>163</v>
      </c>
      <c r="H12" s="5" t="s">
        <v>163</v>
      </c>
      <c r="I12" s="7">
        <v>1</v>
      </c>
      <c r="J12" s="39">
        <v>46395</v>
      </c>
      <c r="K12" s="7" t="str">
        <f t="shared" si="0"/>
        <v>Friday</v>
      </c>
      <c r="L12" s="39">
        <f t="shared" si="1"/>
        <v>46391</v>
      </c>
      <c r="M12" s="5" t="s">
        <v>132</v>
      </c>
      <c r="N12" s="40"/>
      <c r="O12" s="5" t="str">
        <f>IFERROR(INDEX('Friday Calendar'!$M:$M,MATCH(Y12,'Friday Calendar'!$A:$A,0)),"Not a Friday week – check")</f>
        <v>YATRA DAY</v>
      </c>
      <c r="P12" s="5" t="s">
        <v>164</v>
      </c>
      <c r="Q12" s="5" t="s">
        <v>134</v>
      </c>
      <c r="R12" s="5" t="s">
        <v>135</v>
      </c>
      <c r="S12" s="5" t="s">
        <v>136</v>
      </c>
      <c r="T12" s="6"/>
      <c r="U12" s="6"/>
      <c r="V12" s="7" t="s">
        <v>137</v>
      </c>
      <c r="W12" s="7" t="s">
        <v>138</v>
      </c>
      <c r="X12" s="5"/>
      <c r="Y12" s="41">
        <f t="shared" si="2"/>
        <v>46395</v>
      </c>
      <c r="Z12" s="5" t="str">
        <f t="shared" si="3"/>
        <v>Team 1 – West|46395</v>
      </c>
    </row>
    <row r="13" spans="1:26" ht="28" x14ac:dyDescent="0.2">
      <c r="A13" s="7">
        <v>9</v>
      </c>
      <c r="B13" s="5" t="s">
        <v>161</v>
      </c>
      <c r="C13" s="5" t="s">
        <v>12</v>
      </c>
      <c r="D13" s="5" t="s">
        <v>13</v>
      </c>
      <c r="E13" s="7" t="s">
        <v>165</v>
      </c>
      <c r="F13" s="5" t="s">
        <v>163</v>
      </c>
      <c r="G13" s="4" t="s">
        <v>166</v>
      </c>
      <c r="H13" s="5" t="s">
        <v>166</v>
      </c>
      <c r="I13" s="7">
        <v>1</v>
      </c>
      <c r="J13" s="39">
        <v>46402</v>
      </c>
      <c r="K13" s="7" t="str">
        <f t="shared" si="0"/>
        <v>Friday</v>
      </c>
      <c r="L13" s="39">
        <f t="shared" si="1"/>
        <v>46398</v>
      </c>
      <c r="M13" s="5" t="s">
        <v>163</v>
      </c>
      <c r="N13" s="40">
        <v>55</v>
      </c>
      <c r="O13" s="5" t="str">
        <f>IFERROR(INDEX('Friday Calendar'!$M:$M,MATCH(Y13,'Friday Calendar'!$A:$A,0)),"Not a Friday week – check")</f>
        <v>YATRA DAY – CAUTION</v>
      </c>
      <c r="P13" s="5" t="s">
        <v>143</v>
      </c>
      <c r="Q13" s="5" t="s">
        <v>134</v>
      </c>
      <c r="R13" s="5" t="s">
        <v>135</v>
      </c>
      <c r="S13" s="5" t="s">
        <v>136</v>
      </c>
      <c r="T13" s="6"/>
      <c r="U13" s="6"/>
      <c r="V13" s="7" t="s">
        <v>137</v>
      </c>
      <c r="W13" s="7" t="s">
        <v>138</v>
      </c>
      <c r="X13" s="5" t="s">
        <v>167</v>
      </c>
      <c r="Y13" s="41">
        <f t="shared" si="2"/>
        <v>46402</v>
      </c>
      <c r="Z13" s="5" t="str">
        <f t="shared" si="3"/>
        <v>Team 1 – West|46402</v>
      </c>
    </row>
    <row r="14" spans="1:26" ht="28" x14ac:dyDescent="0.2">
      <c r="A14" s="7">
        <v>10</v>
      </c>
      <c r="B14" s="5" t="s">
        <v>161</v>
      </c>
      <c r="C14" s="5" t="s">
        <v>12</v>
      </c>
      <c r="D14" s="5" t="s">
        <v>13</v>
      </c>
      <c r="E14" s="7" t="s">
        <v>168</v>
      </c>
      <c r="F14" s="5" t="s">
        <v>163</v>
      </c>
      <c r="G14" s="4" t="s">
        <v>169</v>
      </c>
      <c r="H14" s="5" t="s">
        <v>169</v>
      </c>
      <c r="I14" s="7">
        <v>1</v>
      </c>
      <c r="J14" s="39">
        <v>46409</v>
      </c>
      <c r="K14" s="7" t="str">
        <f t="shared" si="0"/>
        <v>Friday</v>
      </c>
      <c r="L14" s="39">
        <f t="shared" si="1"/>
        <v>46405</v>
      </c>
      <c r="M14" s="5" t="s">
        <v>166</v>
      </c>
      <c r="N14" s="40">
        <v>40</v>
      </c>
      <c r="O14" s="5" t="str">
        <f>IFERROR(INDEX('Friday Calendar'!$M:$M,MATCH(Y14,'Friday Calendar'!$A:$A,0)),"Not a Friday week – check")</f>
        <v>YATRA DAY</v>
      </c>
      <c r="P14" s="5" t="s">
        <v>143</v>
      </c>
      <c r="Q14" s="5" t="s">
        <v>134</v>
      </c>
      <c r="R14" s="5" t="s">
        <v>135</v>
      </c>
      <c r="S14" s="5" t="s">
        <v>136</v>
      </c>
      <c r="T14" s="6"/>
      <c r="U14" s="6"/>
      <c r="V14" s="7" t="s">
        <v>137</v>
      </c>
      <c r="W14" s="7" t="s">
        <v>138</v>
      </c>
      <c r="X14" s="5" t="s">
        <v>170</v>
      </c>
      <c r="Y14" s="41">
        <f t="shared" si="2"/>
        <v>46409</v>
      </c>
      <c r="Z14" s="5" t="str">
        <f t="shared" si="3"/>
        <v>Team 1 – West|46409</v>
      </c>
    </row>
    <row r="15" spans="1:26" ht="28" x14ac:dyDescent="0.2">
      <c r="A15" s="7">
        <v>11</v>
      </c>
      <c r="B15" s="5" t="s">
        <v>161</v>
      </c>
      <c r="C15" s="5" t="s">
        <v>12</v>
      </c>
      <c r="D15" s="5" t="s">
        <v>13</v>
      </c>
      <c r="E15" s="7" t="s">
        <v>171</v>
      </c>
      <c r="F15" s="5" t="s">
        <v>172</v>
      </c>
      <c r="G15" s="4" t="s">
        <v>173</v>
      </c>
      <c r="H15" s="5" t="s">
        <v>173</v>
      </c>
      <c r="I15" s="7">
        <v>1</v>
      </c>
      <c r="J15" s="39">
        <v>46416</v>
      </c>
      <c r="K15" s="7" t="str">
        <f t="shared" si="0"/>
        <v>Friday</v>
      </c>
      <c r="L15" s="39">
        <f t="shared" si="1"/>
        <v>46412</v>
      </c>
      <c r="M15" s="5" t="s">
        <v>169</v>
      </c>
      <c r="N15" s="40">
        <v>75</v>
      </c>
      <c r="O15" s="5" t="str">
        <f>IFERROR(INDEX('Friday Calendar'!$M:$M,MATCH(Y15,'Friday Calendar'!$A:$A,0)),"Not a Friday week – check")</f>
        <v>YATRA DAY</v>
      </c>
      <c r="P15" s="5" t="s">
        <v>143</v>
      </c>
      <c r="Q15" s="5" t="s">
        <v>134</v>
      </c>
      <c r="R15" s="5" t="s">
        <v>135</v>
      </c>
      <c r="S15" s="5" t="s">
        <v>136</v>
      </c>
      <c r="T15" s="6"/>
      <c r="U15" s="6"/>
      <c r="V15" s="7" t="s">
        <v>137</v>
      </c>
      <c r="W15" s="7" t="s">
        <v>138</v>
      </c>
      <c r="X15" s="5"/>
      <c r="Y15" s="41">
        <f t="shared" si="2"/>
        <v>46416</v>
      </c>
      <c r="Z15" s="5" t="str">
        <f t="shared" si="3"/>
        <v>Team 1 – West|46416</v>
      </c>
    </row>
    <row r="16" spans="1:26" ht="28" x14ac:dyDescent="0.2">
      <c r="A16" s="7">
        <v>12</v>
      </c>
      <c r="B16" s="5" t="s">
        <v>174</v>
      </c>
      <c r="C16" s="5" t="s">
        <v>12</v>
      </c>
      <c r="D16" s="5" t="s">
        <v>13</v>
      </c>
      <c r="E16" s="7" t="s">
        <v>175</v>
      </c>
      <c r="F16" s="5" t="s">
        <v>172</v>
      </c>
      <c r="G16" s="4" t="s">
        <v>172</v>
      </c>
      <c r="H16" s="5" t="s">
        <v>172</v>
      </c>
      <c r="I16" s="7">
        <v>1</v>
      </c>
      <c r="J16" s="39">
        <v>46423</v>
      </c>
      <c r="K16" s="7" t="str">
        <f t="shared" si="0"/>
        <v>Friday</v>
      </c>
      <c r="L16" s="39">
        <f t="shared" si="1"/>
        <v>46419</v>
      </c>
      <c r="M16" s="5" t="s">
        <v>132</v>
      </c>
      <c r="N16" s="40"/>
      <c r="O16" s="5" t="str">
        <f>IFERROR(INDEX('Friday Calendar'!$M:$M,MATCH(Y16,'Friday Calendar'!$A:$A,0)),"Not a Friday week – check")</f>
        <v>YATRA DAY</v>
      </c>
      <c r="P16" s="5" t="s">
        <v>176</v>
      </c>
      <c r="Q16" s="5" t="s">
        <v>134</v>
      </c>
      <c r="R16" s="5" t="s">
        <v>135</v>
      </c>
      <c r="S16" s="5" t="s">
        <v>136</v>
      </c>
      <c r="T16" s="6"/>
      <c r="U16" s="6"/>
      <c r="V16" s="7" t="s">
        <v>137</v>
      </c>
      <c r="W16" s="7" t="s">
        <v>138</v>
      </c>
      <c r="X16" s="5"/>
      <c r="Y16" s="41">
        <f t="shared" si="2"/>
        <v>46423</v>
      </c>
      <c r="Z16" s="5" t="str">
        <f t="shared" si="3"/>
        <v>Team 1 – West|46423</v>
      </c>
    </row>
    <row r="17" spans="1:26" ht="28" x14ac:dyDescent="0.2">
      <c r="A17" s="7">
        <v>13</v>
      </c>
      <c r="B17" s="5" t="s">
        <v>174</v>
      </c>
      <c r="C17" s="5" t="s">
        <v>12</v>
      </c>
      <c r="D17" s="5" t="s">
        <v>13</v>
      </c>
      <c r="E17" s="7" t="s">
        <v>177</v>
      </c>
      <c r="F17" s="5" t="s">
        <v>172</v>
      </c>
      <c r="G17" s="4" t="s">
        <v>178</v>
      </c>
      <c r="H17" s="5" t="s">
        <v>178</v>
      </c>
      <c r="I17" s="7">
        <v>1</v>
      </c>
      <c r="J17" s="39">
        <v>46430</v>
      </c>
      <c r="K17" s="7" t="str">
        <f t="shared" si="0"/>
        <v>Friday</v>
      </c>
      <c r="L17" s="39">
        <f t="shared" si="1"/>
        <v>46426</v>
      </c>
      <c r="M17" s="5" t="s">
        <v>172</v>
      </c>
      <c r="N17" s="40">
        <v>35</v>
      </c>
      <c r="O17" s="5" t="str">
        <f>IFERROR(INDEX('Friday Calendar'!$M:$M,MATCH(Y17,'Friday Calendar'!$A:$A,0)),"Not a Friday week – check")</f>
        <v>YATRA DAY – CAUTION</v>
      </c>
      <c r="P17" s="5" t="s">
        <v>143</v>
      </c>
      <c r="Q17" s="5" t="s">
        <v>134</v>
      </c>
      <c r="R17" s="5" t="s">
        <v>135</v>
      </c>
      <c r="S17" s="5" t="s">
        <v>136</v>
      </c>
      <c r="T17" s="6"/>
      <c r="U17" s="6"/>
      <c r="V17" s="7" t="s">
        <v>137</v>
      </c>
      <c r="W17" s="7" t="s">
        <v>138</v>
      </c>
      <c r="X17" s="5" t="s">
        <v>179</v>
      </c>
      <c r="Y17" s="41">
        <f t="shared" si="2"/>
        <v>46430</v>
      </c>
      <c r="Z17" s="5" t="str">
        <f t="shared" si="3"/>
        <v>Team 1 – West|46430</v>
      </c>
    </row>
    <row r="18" spans="1:26" ht="28" x14ac:dyDescent="0.2">
      <c r="A18" s="7">
        <v>14</v>
      </c>
      <c r="B18" s="5" t="s">
        <v>174</v>
      </c>
      <c r="C18" s="5" t="s">
        <v>12</v>
      </c>
      <c r="D18" s="5" t="s">
        <v>13</v>
      </c>
      <c r="E18" s="7" t="s">
        <v>180</v>
      </c>
      <c r="F18" s="5" t="s">
        <v>172</v>
      </c>
      <c r="G18" s="4" t="s">
        <v>181</v>
      </c>
      <c r="H18" s="5" t="s">
        <v>181</v>
      </c>
      <c r="I18" s="7">
        <v>1</v>
      </c>
      <c r="J18" s="39">
        <v>46437</v>
      </c>
      <c r="K18" s="7" t="str">
        <f t="shared" si="0"/>
        <v>Friday</v>
      </c>
      <c r="L18" s="39">
        <f t="shared" si="1"/>
        <v>46433</v>
      </c>
      <c r="M18" s="5" t="s">
        <v>178</v>
      </c>
      <c r="N18" s="40">
        <v>35</v>
      </c>
      <c r="O18" s="5" t="str">
        <f>IFERROR(INDEX('Friday Calendar'!$M:$M,MATCH(Y18,'Friday Calendar'!$A:$A,0)),"Not a Friday week – check")</f>
        <v>YATRA DAY</v>
      </c>
      <c r="P18" s="5" t="s">
        <v>143</v>
      </c>
      <c r="Q18" s="5" t="s">
        <v>134</v>
      </c>
      <c r="R18" s="5" t="s">
        <v>135</v>
      </c>
      <c r="S18" s="5" t="s">
        <v>136</v>
      </c>
      <c r="T18" s="6"/>
      <c r="U18" s="6"/>
      <c r="V18" s="7" t="s">
        <v>137</v>
      </c>
      <c r="W18" s="7" t="s">
        <v>138</v>
      </c>
      <c r="X18" s="5"/>
      <c r="Y18" s="41">
        <f t="shared" si="2"/>
        <v>46437</v>
      </c>
      <c r="Z18" s="5" t="str">
        <f t="shared" si="3"/>
        <v>Team 1 – West|46437</v>
      </c>
    </row>
    <row r="19" spans="1:26" ht="28" x14ac:dyDescent="0.2">
      <c r="A19" s="7">
        <v>15</v>
      </c>
      <c r="B19" s="5" t="s">
        <v>174</v>
      </c>
      <c r="C19" s="5" t="s">
        <v>12</v>
      </c>
      <c r="D19" s="5" t="s">
        <v>13</v>
      </c>
      <c r="E19" s="7" t="s">
        <v>182</v>
      </c>
      <c r="F19" s="5" t="s">
        <v>172</v>
      </c>
      <c r="G19" s="4" t="s">
        <v>183</v>
      </c>
      <c r="H19" s="5" t="s">
        <v>183</v>
      </c>
      <c r="I19" s="7">
        <v>1</v>
      </c>
      <c r="J19" s="39">
        <v>46444</v>
      </c>
      <c r="K19" s="7" t="str">
        <f t="shared" si="0"/>
        <v>Friday</v>
      </c>
      <c r="L19" s="39">
        <f t="shared" si="1"/>
        <v>46440</v>
      </c>
      <c r="M19" s="5" t="s">
        <v>181</v>
      </c>
      <c r="N19" s="40">
        <v>35</v>
      </c>
      <c r="O19" s="5" t="str">
        <f>IFERROR(INDEX('Friday Calendar'!$M:$M,MATCH(Y19,'Friday Calendar'!$A:$A,0)),"Not a Friday week – check")</f>
        <v>YATRA DAY</v>
      </c>
      <c r="P19" s="5" t="s">
        <v>143</v>
      </c>
      <c r="Q19" s="5" t="s">
        <v>134</v>
      </c>
      <c r="R19" s="5" t="s">
        <v>135</v>
      </c>
      <c r="S19" s="5" t="s">
        <v>136</v>
      </c>
      <c r="T19" s="6"/>
      <c r="U19" s="6"/>
      <c r="V19" s="7" t="s">
        <v>137</v>
      </c>
      <c r="W19" s="7" t="s">
        <v>138</v>
      </c>
      <c r="X19" s="5"/>
      <c r="Y19" s="41">
        <f t="shared" si="2"/>
        <v>46444</v>
      </c>
      <c r="Z19" s="5" t="str">
        <f t="shared" si="3"/>
        <v>Team 1 – West|46444</v>
      </c>
    </row>
    <row r="20" spans="1:26" ht="28" x14ac:dyDescent="0.2">
      <c r="A20" s="7">
        <v>16</v>
      </c>
      <c r="B20" s="5" t="s">
        <v>184</v>
      </c>
      <c r="C20" s="5" t="s">
        <v>12</v>
      </c>
      <c r="D20" s="5" t="s">
        <v>13</v>
      </c>
      <c r="E20" s="7" t="s">
        <v>185</v>
      </c>
      <c r="F20" s="5" t="s">
        <v>153</v>
      </c>
      <c r="G20" s="4" t="s">
        <v>186</v>
      </c>
      <c r="H20" s="5" t="s">
        <v>186</v>
      </c>
      <c r="I20" s="7">
        <v>1</v>
      </c>
      <c r="J20" s="39">
        <v>46451</v>
      </c>
      <c r="K20" s="7" t="str">
        <f t="shared" si="0"/>
        <v>Friday</v>
      </c>
      <c r="L20" s="39">
        <f t="shared" si="1"/>
        <v>46447</v>
      </c>
      <c r="M20" s="5" t="s">
        <v>132</v>
      </c>
      <c r="N20" s="40"/>
      <c r="O20" s="5" t="str">
        <f>IFERROR(INDEX('Friday Calendar'!$M:$M,MATCH(Y20,'Friday Calendar'!$A:$A,0)),"Not a Friday week – check")</f>
        <v>YATRA DAY</v>
      </c>
      <c r="P20" s="5" t="s">
        <v>143</v>
      </c>
      <c r="Q20" s="5" t="s">
        <v>134</v>
      </c>
      <c r="R20" s="5" t="s">
        <v>135</v>
      </c>
      <c r="S20" s="5" t="s">
        <v>136</v>
      </c>
      <c r="T20" s="6"/>
      <c r="U20" s="6"/>
      <c r="V20" s="7" t="s">
        <v>137</v>
      </c>
      <c r="W20" s="7" t="s">
        <v>138</v>
      </c>
      <c r="X20" s="5"/>
      <c r="Y20" s="41">
        <f t="shared" si="2"/>
        <v>46451</v>
      </c>
      <c r="Z20" s="5" t="str">
        <f t="shared" si="3"/>
        <v>Team 1 – West|46451</v>
      </c>
    </row>
    <row r="21" spans="1:26" ht="28" x14ac:dyDescent="0.2">
      <c r="A21" s="7">
        <v>17</v>
      </c>
      <c r="B21" s="5" t="s">
        <v>184</v>
      </c>
      <c r="C21" s="5" t="s">
        <v>12</v>
      </c>
      <c r="D21" s="5" t="s">
        <v>13</v>
      </c>
      <c r="E21" s="7" t="s">
        <v>187</v>
      </c>
      <c r="F21" s="5" t="s">
        <v>153</v>
      </c>
      <c r="G21" s="4" t="s">
        <v>188</v>
      </c>
      <c r="H21" s="5" t="s">
        <v>188</v>
      </c>
      <c r="I21" s="7">
        <v>1</v>
      </c>
      <c r="J21" s="39">
        <v>46458</v>
      </c>
      <c r="K21" s="7" t="str">
        <f t="shared" si="0"/>
        <v>Friday</v>
      </c>
      <c r="L21" s="39">
        <f t="shared" si="1"/>
        <v>46454</v>
      </c>
      <c r="M21" s="5" t="s">
        <v>186</v>
      </c>
      <c r="N21" s="40">
        <v>70</v>
      </c>
      <c r="O21" s="5" t="str">
        <f>IFERROR(INDEX('Friday Calendar'!$M:$M,MATCH(Y21,'Friday Calendar'!$A:$A,0)),"Not a Friday week – check")</f>
        <v>YATRA DAY</v>
      </c>
      <c r="P21" s="5" t="s">
        <v>143</v>
      </c>
      <c r="Q21" s="5" t="s">
        <v>134</v>
      </c>
      <c r="R21" s="5" t="s">
        <v>135</v>
      </c>
      <c r="S21" s="5" t="s">
        <v>136</v>
      </c>
      <c r="T21" s="6"/>
      <c r="U21" s="6"/>
      <c r="V21" s="7" t="s">
        <v>137</v>
      </c>
      <c r="W21" s="7" t="s">
        <v>138</v>
      </c>
      <c r="X21" s="5" t="s">
        <v>189</v>
      </c>
      <c r="Y21" s="41">
        <f t="shared" si="2"/>
        <v>46458</v>
      </c>
      <c r="Z21" s="5" t="str">
        <f t="shared" si="3"/>
        <v>Team 1 – West|46458</v>
      </c>
    </row>
    <row r="22" spans="1:26" ht="28" x14ac:dyDescent="0.2">
      <c r="A22" s="7">
        <v>18</v>
      </c>
      <c r="B22" s="5" t="s">
        <v>184</v>
      </c>
      <c r="C22" s="5" t="s">
        <v>12</v>
      </c>
      <c r="D22" s="5" t="s">
        <v>13</v>
      </c>
      <c r="E22" s="7" t="s">
        <v>190</v>
      </c>
      <c r="F22" s="5" t="s">
        <v>142</v>
      </c>
      <c r="G22" s="4" t="s">
        <v>191</v>
      </c>
      <c r="H22" s="5" t="s">
        <v>192</v>
      </c>
      <c r="I22" s="7">
        <v>2</v>
      </c>
      <c r="J22" s="39">
        <v>46465</v>
      </c>
      <c r="K22" s="7" t="str">
        <f t="shared" si="0"/>
        <v>Friday</v>
      </c>
      <c r="L22" s="39">
        <f t="shared" si="1"/>
        <v>46461</v>
      </c>
      <c r="M22" s="5" t="s">
        <v>188</v>
      </c>
      <c r="N22" s="40">
        <v>110</v>
      </c>
      <c r="O22" s="5" t="str">
        <f>IFERROR(INDEX('Friday Calendar'!$M:$M,MATCH(Y22,'Friday Calendar'!$A:$A,0)),"Not a Friday week – check")</f>
        <v>YATRA DAY</v>
      </c>
      <c r="P22" s="5" t="s">
        <v>143</v>
      </c>
      <c r="Q22" s="5" t="s">
        <v>134</v>
      </c>
      <c r="R22" s="5" t="s">
        <v>135</v>
      </c>
      <c r="S22" s="5" t="s">
        <v>136</v>
      </c>
      <c r="T22" s="6"/>
      <c r="U22" s="6"/>
      <c r="V22" s="7" t="s">
        <v>193</v>
      </c>
      <c r="W22" s="7" t="s">
        <v>138</v>
      </c>
      <c r="X22" s="5" t="s">
        <v>194</v>
      </c>
      <c r="Y22" s="41">
        <f t="shared" si="2"/>
        <v>46465</v>
      </c>
      <c r="Z22" s="5" t="str">
        <f t="shared" si="3"/>
        <v>Team 1 – West|46465</v>
      </c>
    </row>
    <row r="23" spans="1:26" ht="28" x14ac:dyDescent="0.2">
      <c r="A23" s="7">
        <v>19</v>
      </c>
      <c r="B23" s="5" t="s">
        <v>156</v>
      </c>
      <c r="C23" s="5" t="s">
        <v>12</v>
      </c>
      <c r="D23" s="5" t="s">
        <v>13</v>
      </c>
      <c r="E23" s="7" t="s">
        <v>195</v>
      </c>
      <c r="F23" s="5" t="s">
        <v>24</v>
      </c>
      <c r="G23" s="4" t="s">
        <v>158</v>
      </c>
      <c r="H23" s="5" t="s">
        <v>159</v>
      </c>
      <c r="I23" s="7">
        <v>0</v>
      </c>
      <c r="J23" s="39">
        <v>46473</v>
      </c>
      <c r="K23" s="7" t="str">
        <f t="shared" si="0"/>
        <v>Saturday</v>
      </c>
      <c r="L23" s="39">
        <f t="shared" si="1"/>
        <v>46469</v>
      </c>
      <c r="M23" s="5" t="s">
        <v>24</v>
      </c>
      <c r="N23" s="40"/>
      <c r="O23" s="5" t="str">
        <f>IFERROR(INDEX('Friday Calendar'!$M:$M,MATCH(Y23,'Friday Calendar'!$A:$A,0)),"Not a Friday week – check")</f>
        <v>SATURDAY (Fri holiday)</v>
      </c>
      <c r="P23" s="5" t="s">
        <v>24</v>
      </c>
      <c r="Q23" s="5" t="s">
        <v>24</v>
      </c>
      <c r="R23" s="5" t="s">
        <v>24</v>
      </c>
      <c r="S23" s="5" t="s">
        <v>24</v>
      </c>
      <c r="T23" s="6" t="s">
        <v>24</v>
      </c>
      <c r="U23" s="6" t="s">
        <v>24</v>
      </c>
      <c r="V23" s="7" t="s">
        <v>24</v>
      </c>
      <c r="W23" s="7" t="s">
        <v>156</v>
      </c>
      <c r="X23" s="5" t="s">
        <v>196</v>
      </c>
      <c r="Y23" s="41">
        <f t="shared" si="2"/>
        <v>46472</v>
      </c>
      <c r="Z23" s="5" t="str">
        <f t="shared" si="3"/>
        <v>Team 1 – West|46472</v>
      </c>
    </row>
    <row r="24" spans="1:26" ht="28" x14ac:dyDescent="0.2">
      <c r="A24" s="11">
        <v>20</v>
      </c>
      <c r="B24" s="10" t="s">
        <v>140</v>
      </c>
      <c r="C24" s="10" t="s">
        <v>14</v>
      </c>
      <c r="D24" s="10" t="s">
        <v>15</v>
      </c>
      <c r="E24" s="11" t="s">
        <v>141</v>
      </c>
      <c r="F24" s="10" t="s">
        <v>197</v>
      </c>
      <c r="G24" s="9" t="s">
        <v>197</v>
      </c>
      <c r="H24" s="10" t="s">
        <v>197</v>
      </c>
      <c r="I24" s="11">
        <v>1</v>
      </c>
      <c r="J24" s="42">
        <v>46325</v>
      </c>
      <c r="K24" s="11" t="str">
        <f t="shared" si="0"/>
        <v>Friday</v>
      </c>
      <c r="L24" s="42">
        <f t="shared" si="1"/>
        <v>46321</v>
      </c>
      <c r="M24" s="10" t="s">
        <v>131</v>
      </c>
      <c r="N24" s="43">
        <v>270</v>
      </c>
      <c r="O24" s="10" t="str">
        <f>IFERROR(INDEX('Friday Calendar'!$M:$M,MATCH(Y24,'Friday Calendar'!$A:$A,0)),"Not a Friday week – check")</f>
        <v>YATRA DAY – CAUTION</v>
      </c>
      <c r="P24" s="10" t="s">
        <v>198</v>
      </c>
      <c r="Q24" s="10" t="s">
        <v>134</v>
      </c>
      <c r="R24" s="10" t="s">
        <v>135</v>
      </c>
      <c r="S24" s="10" t="s">
        <v>136</v>
      </c>
      <c r="T24" s="6"/>
      <c r="U24" s="6"/>
      <c r="V24" s="11" t="s">
        <v>137</v>
      </c>
      <c r="W24" s="11" t="s">
        <v>138</v>
      </c>
      <c r="X24" s="10" t="s">
        <v>199</v>
      </c>
      <c r="Y24" s="44">
        <f t="shared" si="2"/>
        <v>46325</v>
      </c>
      <c r="Z24" s="10" t="str">
        <f t="shared" si="3"/>
        <v>Team 2 – East|46325</v>
      </c>
    </row>
    <row r="25" spans="1:26" ht="28" x14ac:dyDescent="0.2">
      <c r="A25" s="11">
        <v>21</v>
      </c>
      <c r="B25" s="10" t="s">
        <v>145</v>
      </c>
      <c r="C25" s="10" t="s">
        <v>14</v>
      </c>
      <c r="D25" s="10" t="s">
        <v>15</v>
      </c>
      <c r="E25" s="11" t="s">
        <v>146</v>
      </c>
      <c r="F25" s="10" t="s">
        <v>200</v>
      </c>
      <c r="G25" s="9" t="s">
        <v>200</v>
      </c>
      <c r="H25" s="10" t="s">
        <v>200</v>
      </c>
      <c r="I25" s="11">
        <v>1</v>
      </c>
      <c r="J25" s="42">
        <v>46346</v>
      </c>
      <c r="K25" s="11" t="str">
        <f t="shared" si="0"/>
        <v>Friday</v>
      </c>
      <c r="L25" s="42">
        <f t="shared" si="1"/>
        <v>46342</v>
      </c>
      <c r="M25" s="10" t="s">
        <v>132</v>
      </c>
      <c r="N25" s="43"/>
      <c r="O25" s="10" t="str">
        <f>IFERROR(INDEX('Friday Calendar'!$M:$M,MATCH(Y25,'Friday Calendar'!$A:$A,0)),"Not a Friday week – check")</f>
        <v>YATRA DAY</v>
      </c>
      <c r="P25" s="10" t="s">
        <v>143</v>
      </c>
      <c r="Q25" s="10" t="s">
        <v>134</v>
      </c>
      <c r="R25" s="10" t="s">
        <v>135</v>
      </c>
      <c r="S25" s="10" t="s">
        <v>136</v>
      </c>
      <c r="T25" s="6"/>
      <c r="U25" s="6"/>
      <c r="V25" s="11" t="s">
        <v>137</v>
      </c>
      <c r="W25" s="11" t="s">
        <v>138</v>
      </c>
      <c r="X25" s="10" t="s">
        <v>201</v>
      </c>
      <c r="Y25" s="44">
        <f t="shared" si="2"/>
        <v>46346</v>
      </c>
      <c r="Z25" s="10" t="str">
        <f t="shared" si="3"/>
        <v>Team 2 – East|46346</v>
      </c>
    </row>
    <row r="26" spans="1:26" ht="28" x14ac:dyDescent="0.2">
      <c r="A26" s="11">
        <v>22</v>
      </c>
      <c r="B26" s="10" t="s">
        <v>145</v>
      </c>
      <c r="C26" s="10" t="s">
        <v>14</v>
      </c>
      <c r="D26" s="10" t="s">
        <v>15</v>
      </c>
      <c r="E26" s="11" t="s">
        <v>149</v>
      </c>
      <c r="F26" s="10" t="s">
        <v>200</v>
      </c>
      <c r="G26" s="9" t="s">
        <v>202</v>
      </c>
      <c r="H26" s="10" t="s">
        <v>202</v>
      </c>
      <c r="I26" s="11">
        <v>1</v>
      </c>
      <c r="J26" s="42">
        <v>46353</v>
      </c>
      <c r="K26" s="11" t="str">
        <f t="shared" si="0"/>
        <v>Friday</v>
      </c>
      <c r="L26" s="42">
        <f t="shared" si="1"/>
        <v>46349</v>
      </c>
      <c r="M26" s="10" t="s">
        <v>200</v>
      </c>
      <c r="N26" s="43">
        <v>35</v>
      </c>
      <c r="O26" s="10" t="str">
        <f>IFERROR(INDEX('Friday Calendar'!$M:$M,MATCH(Y26,'Friday Calendar'!$A:$A,0)),"Not a Friday week – check")</f>
        <v>YATRA DAY</v>
      </c>
      <c r="P26" s="10" t="s">
        <v>143</v>
      </c>
      <c r="Q26" s="10" t="s">
        <v>134</v>
      </c>
      <c r="R26" s="10" t="s">
        <v>135</v>
      </c>
      <c r="S26" s="10" t="s">
        <v>136</v>
      </c>
      <c r="T26" s="6"/>
      <c r="U26" s="6"/>
      <c r="V26" s="11" t="s">
        <v>137</v>
      </c>
      <c r="W26" s="11" t="s">
        <v>138</v>
      </c>
      <c r="X26" s="10"/>
      <c r="Y26" s="44">
        <f t="shared" si="2"/>
        <v>46353</v>
      </c>
      <c r="Z26" s="10" t="str">
        <f t="shared" si="3"/>
        <v>Team 2 – East|46353</v>
      </c>
    </row>
    <row r="27" spans="1:26" ht="28" x14ac:dyDescent="0.2">
      <c r="A27" s="11">
        <v>23</v>
      </c>
      <c r="B27" s="10" t="s">
        <v>145</v>
      </c>
      <c r="C27" s="10" t="s">
        <v>14</v>
      </c>
      <c r="D27" s="10" t="s">
        <v>15</v>
      </c>
      <c r="E27" s="11" t="s">
        <v>152</v>
      </c>
      <c r="F27" s="10" t="s">
        <v>197</v>
      </c>
      <c r="G27" s="9" t="s">
        <v>203</v>
      </c>
      <c r="H27" s="10" t="s">
        <v>203</v>
      </c>
      <c r="I27" s="11">
        <v>1</v>
      </c>
      <c r="J27" s="42">
        <v>46360</v>
      </c>
      <c r="K27" s="11" t="str">
        <f t="shared" si="0"/>
        <v>Friday</v>
      </c>
      <c r="L27" s="42">
        <f t="shared" si="1"/>
        <v>46356</v>
      </c>
      <c r="M27" s="10" t="s">
        <v>202</v>
      </c>
      <c r="N27" s="43">
        <v>90</v>
      </c>
      <c r="O27" s="10" t="str">
        <f>IFERROR(INDEX('Friday Calendar'!$M:$M,MATCH(Y27,'Friday Calendar'!$A:$A,0)),"Not a Friday week – check")</f>
        <v>YATRA DAY</v>
      </c>
      <c r="P27" s="10" t="s">
        <v>143</v>
      </c>
      <c r="Q27" s="10" t="s">
        <v>134</v>
      </c>
      <c r="R27" s="10" t="s">
        <v>135</v>
      </c>
      <c r="S27" s="10" t="s">
        <v>136</v>
      </c>
      <c r="T27" s="6"/>
      <c r="U27" s="6"/>
      <c r="V27" s="11" t="s">
        <v>137</v>
      </c>
      <c r="W27" s="11" t="s">
        <v>138</v>
      </c>
      <c r="X27" s="10"/>
      <c r="Y27" s="44">
        <f t="shared" si="2"/>
        <v>46360</v>
      </c>
      <c r="Z27" s="10" t="str">
        <f t="shared" si="3"/>
        <v>Team 2 – East|46360</v>
      </c>
    </row>
    <row r="28" spans="1:26" ht="28" x14ac:dyDescent="0.2">
      <c r="A28" s="11">
        <v>24</v>
      </c>
      <c r="B28" s="10" t="s">
        <v>145</v>
      </c>
      <c r="C28" s="10" t="s">
        <v>14</v>
      </c>
      <c r="D28" s="10" t="s">
        <v>15</v>
      </c>
      <c r="E28" s="11" t="s">
        <v>155</v>
      </c>
      <c r="F28" s="10" t="s">
        <v>197</v>
      </c>
      <c r="G28" s="9" t="s">
        <v>204</v>
      </c>
      <c r="H28" s="10" t="s">
        <v>204</v>
      </c>
      <c r="I28" s="11">
        <v>1</v>
      </c>
      <c r="J28" s="42">
        <v>46367</v>
      </c>
      <c r="K28" s="11" t="str">
        <f t="shared" si="0"/>
        <v>Friday</v>
      </c>
      <c r="L28" s="42">
        <f t="shared" si="1"/>
        <v>46363</v>
      </c>
      <c r="M28" s="10" t="s">
        <v>203</v>
      </c>
      <c r="N28" s="43">
        <v>100</v>
      </c>
      <c r="O28" s="10" t="str">
        <f>IFERROR(INDEX('Friday Calendar'!$M:$M,MATCH(Y28,'Friday Calendar'!$A:$A,0)),"Not a Friday week – check")</f>
        <v>YATRA DAY</v>
      </c>
      <c r="P28" s="10" t="s">
        <v>143</v>
      </c>
      <c r="Q28" s="10" t="s">
        <v>134</v>
      </c>
      <c r="R28" s="10" t="s">
        <v>135</v>
      </c>
      <c r="S28" s="10" t="s">
        <v>136</v>
      </c>
      <c r="T28" s="6"/>
      <c r="U28" s="6"/>
      <c r="V28" s="11" t="s">
        <v>137</v>
      </c>
      <c r="W28" s="11" t="s">
        <v>138</v>
      </c>
      <c r="X28" s="10"/>
      <c r="Y28" s="44">
        <f t="shared" si="2"/>
        <v>46367</v>
      </c>
      <c r="Z28" s="10" t="str">
        <f t="shared" si="3"/>
        <v>Team 2 – East|46367</v>
      </c>
    </row>
    <row r="29" spans="1:26" ht="28" x14ac:dyDescent="0.2">
      <c r="A29" s="11">
        <v>25</v>
      </c>
      <c r="B29" s="10" t="s">
        <v>156</v>
      </c>
      <c r="C29" s="10" t="s">
        <v>14</v>
      </c>
      <c r="D29" s="10" t="s">
        <v>15</v>
      </c>
      <c r="E29" s="11" t="s">
        <v>157</v>
      </c>
      <c r="F29" s="10" t="s">
        <v>24</v>
      </c>
      <c r="G29" s="9" t="s">
        <v>158</v>
      </c>
      <c r="H29" s="10" t="s">
        <v>159</v>
      </c>
      <c r="I29" s="11">
        <v>0</v>
      </c>
      <c r="J29" s="42">
        <v>46374</v>
      </c>
      <c r="K29" s="11" t="str">
        <f t="shared" si="0"/>
        <v>Friday</v>
      </c>
      <c r="L29" s="42">
        <f t="shared" si="1"/>
        <v>46370</v>
      </c>
      <c r="M29" s="10" t="s">
        <v>24</v>
      </c>
      <c r="N29" s="43"/>
      <c r="O29" s="10" t="str">
        <f>IFERROR(INDEX('Friday Calendar'!$M:$M,MATCH(Y29,'Friday Calendar'!$A:$A,0)),"Not a Friday week – check")</f>
        <v>YATRA DAY</v>
      </c>
      <c r="P29" s="10" t="s">
        <v>24</v>
      </c>
      <c r="Q29" s="10" t="s">
        <v>24</v>
      </c>
      <c r="R29" s="10" t="s">
        <v>24</v>
      </c>
      <c r="S29" s="10" t="s">
        <v>24</v>
      </c>
      <c r="T29" s="6" t="s">
        <v>24</v>
      </c>
      <c r="U29" s="6" t="s">
        <v>24</v>
      </c>
      <c r="V29" s="11" t="s">
        <v>24</v>
      </c>
      <c r="W29" s="11" t="s">
        <v>156</v>
      </c>
      <c r="X29" s="10" t="s">
        <v>160</v>
      </c>
      <c r="Y29" s="44">
        <f t="shared" si="2"/>
        <v>46374</v>
      </c>
      <c r="Z29" s="10" t="str">
        <f t="shared" si="3"/>
        <v>Team 2 – East|46374</v>
      </c>
    </row>
    <row r="30" spans="1:26" ht="28" x14ac:dyDescent="0.2">
      <c r="A30" s="11">
        <v>26</v>
      </c>
      <c r="B30" s="10" t="s">
        <v>161</v>
      </c>
      <c r="C30" s="10" t="s">
        <v>14</v>
      </c>
      <c r="D30" s="10" t="s">
        <v>15</v>
      </c>
      <c r="E30" s="11" t="s">
        <v>162</v>
      </c>
      <c r="F30" s="10" t="s">
        <v>200</v>
      </c>
      <c r="G30" s="9" t="s">
        <v>205</v>
      </c>
      <c r="H30" s="10" t="s">
        <v>205</v>
      </c>
      <c r="I30" s="11">
        <v>1</v>
      </c>
      <c r="J30" s="42">
        <v>46395</v>
      </c>
      <c r="K30" s="11" t="str">
        <f t="shared" si="0"/>
        <v>Friday</v>
      </c>
      <c r="L30" s="42">
        <f t="shared" si="1"/>
        <v>46391</v>
      </c>
      <c r="M30" s="10" t="s">
        <v>132</v>
      </c>
      <c r="N30" s="43"/>
      <c r="O30" s="10" t="str">
        <f>IFERROR(INDEX('Friday Calendar'!$M:$M,MATCH(Y30,'Friday Calendar'!$A:$A,0)),"Not a Friday week – check")</f>
        <v>YATRA DAY</v>
      </c>
      <c r="P30" s="10" t="s">
        <v>143</v>
      </c>
      <c r="Q30" s="10" t="s">
        <v>134</v>
      </c>
      <c r="R30" s="10" t="s">
        <v>135</v>
      </c>
      <c r="S30" s="10" t="s">
        <v>136</v>
      </c>
      <c r="T30" s="6"/>
      <c r="U30" s="6"/>
      <c r="V30" s="11" t="s">
        <v>137</v>
      </c>
      <c r="W30" s="11" t="s">
        <v>138</v>
      </c>
      <c r="X30" s="10"/>
      <c r="Y30" s="44">
        <f t="shared" si="2"/>
        <v>46395</v>
      </c>
      <c r="Z30" s="10" t="str">
        <f t="shared" si="3"/>
        <v>Team 2 – East|46395</v>
      </c>
    </row>
    <row r="31" spans="1:26" ht="28" x14ac:dyDescent="0.2">
      <c r="A31" s="11">
        <v>27</v>
      </c>
      <c r="B31" s="10" t="s">
        <v>161</v>
      </c>
      <c r="C31" s="10" t="s">
        <v>14</v>
      </c>
      <c r="D31" s="10" t="s">
        <v>15</v>
      </c>
      <c r="E31" s="11" t="s">
        <v>165</v>
      </c>
      <c r="F31" s="10" t="s">
        <v>206</v>
      </c>
      <c r="G31" s="9" t="s">
        <v>207</v>
      </c>
      <c r="H31" s="10" t="s">
        <v>208</v>
      </c>
      <c r="I31" s="11">
        <v>2</v>
      </c>
      <c r="J31" s="42">
        <v>46402</v>
      </c>
      <c r="K31" s="11" t="str">
        <f t="shared" si="0"/>
        <v>Friday</v>
      </c>
      <c r="L31" s="42">
        <f t="shared" si="1"/>
        <v>46398</v>
      </c>
      <c r="M31" s="10" t="s">
        <v>205</v>
      </c>
      <c r="N31" s="43">
        <v>90</v>
      </c>
      <c r="O31" s="10" t="str">
        <f>IFERROR(INDEX('Friday Calendar'!$M:$M,MATCH(Y31,'Friday Calendar'!$A:$A,0)),"Not a Friday week – check")</f>
        <v>YATRA DAY – CAUTION</v>
      </c>
      <c r="P31" s="10" t="s">
        <v>143</v>
      </c>
      <c r="Q31" s="10" t="s">
        <v>134</v>
      </c>
      <c r="R31" s="10" t="s">
        <v>135</v>
      </c>
      <c r="S31" s="10" t="s">
        <v>136</v>
      </c>
      <c r="T31" s="6"/>
      <c r="U31" s="6"/>
      <c r="V31" s="11" t="s">
        <v>193</v>
      </c>
      <c r="W31" s="11" t="s">
        <v>138</v>
      </c>
      <c r="X31" s="10" t="s">
        <v>209</v>
      </c>
      <c r="Y31" s="44">
        <f t="shared" si="2"/>
        <v>46402</v>
      </c>
      <c r="Z31" s="10" t="str">
        <f t="shared" si="3"/>
        <v>Team 2 – East|46402</v>
      </c>
    </row>
    <row r="32" spans="1:26" ht="28" x14ac:dyDescent="0.2">
      <c r="A32" s="11">
        <v>28</v>
      </c>
      <c r="B32" s="10" t="s">
        <v>161</v>
      </c>
      <c r="C32" s="10" t="s">
        <v>14</v>
      </c>
      <c r="D32" s="10" t="s">
        <v>15</v>
      </c>
      <c r="E32" s="11" t="s">
        <v>168</v>
      </c>
      <c r="F32" s="10" t="s">
        <v>206</v>
      </c>
      <c r="G32" s="9" t="s">
        <v>210</v>
      </c>
      <c r="H32" s="10" t="s">
        <v>210</v>
      </c>
      <c r="I32" s="11">
        <v>1</v>
      </c>
      <c r="J32" s="42">
        <v>46409</v>
      </c>
      <c r="K32" s="11" t="str">
        <f t="shared" si="0"/>
        <v>Friday</v>
      </c>
      <c r="L32" s="42">
        <f t="shared" si="1"/>
        <v>46405</v>
      </c>
      <c r="M32" s="10" t="s">
        <v>211</v>
      </c>
      <c r="N32" s="43">
        <v>80</v>
      </c>
      <c r="O32" s="10" t="str">
        <f>IFERROR(INDEX('Friday Calendar'!$M:$M,MATCH(Y32,'Friday Calendar'!$A:$A,0)),"Not a Friday week – check")</f>
        <v>YATRA DAY</v>
      </c>
      <c r="P32" s="10" t="s">
        <v>212</v>
      </c>
      <c r="Q32" s="10" t="s">
        <v>134</v>
      </c>
      <c r="R32" s="10" t="s">
        <v>135</v>
      </c>
      <c r="S32" s="10" t="s">
        <v>136</v>
      </c>
      <c r="T32" s="6"/>
      <c r="U32" s="6"/>
      <c r="V32" s="11" t="s">
        <v>137</v>
      </c>
      <c r="W32" s="11" t="s">
        <v>138</v>
      </c>
      <c r="X32" s="10"/>
      <c r="Y32" s="44">
        <f t="shared" si="2"/>
        <v>46409</v>
      </c>
      <c r="Z32" s="10" t="str">
        <f t="shared" si="3"/>
        <v>Team 2 – East|46409</v>
      </c>
    </row>
    <row r="33" spans="1:26" ht="28" x14ac:dyDescent="0.2">
      <c r="A33" s="11">
        <v>29</v>
      </c>
      <c r="B33" s="10" t="s">
        <v>161</v>
      </c>
      <c r="C33" s="10" t="s">
        <v>14</v>
      </c>
      <c r="D33" s="10" t="s">
        <v>15</v>
      </c>
      <c r="E33" s="11" t="s">
        <v>171</v>
      </c>
      <c r="F33" s="10" t="s">
        <v>206</v>
      </c>
      <c r="G33" s="9" t="s">
        <v>213</v>
      </c>
      <c r="H33" s="10" t="s">
        <v>213</v>
      </c>
      <c r="I33" s="11">
        <v>1</v>
      </c>
      <c r="J33" s="42">
        <v>46416</v>
      </c>
      <c r="K33" s="11" t="str">
        <f t="shared" si="0"/>
        <v>Friday</v>
      </c>
      <c r="L33" s="42">
        <f t="shared" si="1"/>
        <v>46412</v>
      </c>
      <c r="M33" s="10" t="s">
        <v>210</v>
      </c>
      <c r="N33" s="43">
        <v>60</v>
      </c>
      <c r="O33" s="10" t="str">
        <f>IFERROR(INDEX('Friday Calendar'!$M:$M,MATCH(Y33,'Friday Calendar'!$A:$A,0)),"Not a Friday week – check")</f>
        <v>YATRA DAY</v>
      </c>
      <c r="P33" s="10" t="s">
        <v>214</v>
      </c>
      <c r="Q33" s="10" t="s">
        <v>134</v>
      </c>
      <c r="R33" s="10" t="s">
        <v>135</v>
      </c>
      <c r="S33" s="10" t="s">
        <v>136</v>
      </c>
      <c r="T33" s="6"/>
      <c r="U33" s="6"/>
      <c r="V33" s="11" t="s">
        <v>137</v>
      </c>
      <c r="W33" s="11" t="s">
        <v>138</v>
      </c>
      <c r="X33" s="10"/>
      <c r="Y33" s="44">
        <f t="shared" si="2"/>
        <v>46416</v>
      </c>
      <c r="Z33" s="10" t="str">
        <f t="shared" si="3"/>
        <v>Team 2 – East|46416</v>
      </c>
    </row>
    <row r="34" spans="1:26" ht="28" x14ac:dyDescent="0.2">
      <c r="A34" s="11">
        <v>30</v>
      </c>
      <c r="B34" s="10" t="s">
        <v>174</v>
      </c>
      <c r="C34" s="10" t="s">
        <v>14</v>
      </c>
      <c r="D34" s="10" t="s">
        <v>15</v>
      </c>
      <c r="E34" s="11" t="s">
        <v>175</v>
      </c>
      <c r="F34" s="10" t="s">
        <v>197</v>
      </c>
      <c r="G34" s="9" t="s">
        <v>215</v>
      </c>
      <c r="H34" s="10" t="s">
        <v>215</v>
      </c>
      <c r="I34" s="11">
        <v>1</v>
      </c>
      <c r="J34" s="42">
        <v>46423</v>
      </c>
      <c r="K34" s="11" t="str">
        <f t="shared" si="0"/>
        <v>Friday</v>
      </c>
      <c r="L34" s="42">
        <f t="shared" si="1"/>
        <v>46419</v>
      </c>
      <c r="M34" s="10" t="s">
        <v>132</v>
      </c>
      <c r="N34" s="43"/>
      <c r="O34" s="10" t="str">
        <f>IFERROR(INDEX('Friday Calendar'!$M:$M,MATCH(Y34,'Friday Calendar'!$A:$A,0)),"Not a Friday week – check")</f>
        <v>YATRA DAY</v>
      </c>
      <c r="P34" s="10" t="s">
        <v>216</v>
      </c>
      <c r="Q34" s="10" t="s">
        <v>134</v>
      </c>
      <c r="R34" s="10" t="s">
        <v>135</v>
      </c>
      <c r="S34" s="10" t="s">
        <v>136</v>
      </c>
      <c r="T34" s="6"/>
      <c r="U34" s="6"/>
      <c r="V34" s="11" t="s">
        <v>137</v>
      </c>
      <c r="W34" s="11" t="s">
        <v>138</v>
      </c>
      <c r="X34" s="10"/>
      <c r="Y34" s="44">
        <f t="shared" si="2"/>
        <v>46423</v>
      </c>
      <c r="Z34" s="10" t="str">
        <f t="shared" si="3"/>
        <v>Team 2 – East|46423</v>
      </c>
    </row>
    <row r="35" spans="1:26" ht="28" x14ac:dyDescent="0.2">
      <c r="A35" s="11">
        <v>31</v>
      </c>
      <c r="B35" s="10" t="s">
        <v>174</v>
      </c>
      <c r="C35" s="10" t="s">
        <v>14</v>
      </c>
      <c r="D35" s="10" t="s">
        <v>15</v>
      </c>
      <c r="E35" s="11" t="s">
        <v>177</v>
      </c>
      <c r="F35" s="10" t="s">
        <v>217</v>
      </c>
      <c r="G35" s="9" t="s">
        <v>218</v>
      </c>
      <c r="H35" s="10" t="s">
        <v>218</v>
      </c>
      <c r="I35" s="11">
        <v>1</v>
      </c>
      <c r="J35" s="42">
        <v>46430</v>
      </c>
      <c r="K35" s="11" t="str">
        <f t="shared" si="0"/>
        <v>Friday</v>
      </c>
      <c r="L35" s="42">
        <f t="shared" si="1"/>
        <v>46426</v>
      </c>
      <c r="M35" s="10" t="s">
        <v>215</v>
      </c>
      <c r="N35" s="43">
        <v>110</v>
      </c>
      <c r="O35" s="10" t="str">
        <f>IFERROR(INDEX('Friday Calendar'!$M:$M,MATCH(Y35,'Friday Calendar'!$A:$A,0)),"Not a Friday week – check")</f>
        <v>YATRA DAY – CAUTION</v>
      </c>
      <c r="P35" s="10" t="s">
        <v>143</v>
      </c>
      <c r="Q35" s="10" t="s">
        <v>134</v>
      </c>
      <c r="R35" s="10" t="s">
        <v>135</v>
      </c>
      <c r="S35" s="10" t="s">
        <v>136</v>
      </c>
      <c r="T35" s="6"/>
      <c r="U35" s="6"/>
      <c r="V35" s="11" t="s">
        <v>137</v>
      </c>
      <c r="W35" s="11" t="s">
        <v>138</v>
      </c>
      <c r="X35" s="10" t="s">
        <v>179</v>
      </c>
      <c r="Y35" s="44">
        <f t="shared" si="2"/>
        <v>46430</v>
      </c>
      <c r="Z35" s="10" t="str">
        <f t="shared" si="3"/>
        <v>Team 2 – East|46430</v>
      </c>
    </row>
    <row r="36" spans="1:26" ht="28" x14ac:dyDescent="0.2">
      <c r="A36" s="11">
        <v>32</v>
      </c>
      <c r="B36" s="10" t="s">
        <v>174</v>
      </c>
      <c r="C36" s="10" t="s">
        <v>14</v>
      </c>
      <c r="D36" s="10" t="s">
        <v>15</v>
      </c>
      <c r="E36" s="11" t="s">
        <v>180</v>
      </c>
      <c r="F36" s="10" t="s">
        <v>217</v>
      </c>
      <c r="G36" s="9" t="s">
        <v>219</v>
      </c>
      <c r="H36" s="10" t="s">
        <v>219</v>
      </c>
      <c r="I36" s="11">
        <v>1</v>
      </c>
      <c r="J36" s="42">
        <v>46437</v>
      </c>
      <c r="K36" s="11" t="str">
        <f t="shared" si="0"/>
        <v>Friday</v>
      </c>
      <c r="L36" s="42">
        <f t="shared" si="1"/>
        <v>46433</v>
      </c>
      <c r="M36" s="10" t="s">
        <v>218</v>
      </c>
      <c r="N36" s="43">
        <v>70</v>
      </c>
      <c r="O36" s="10" t="str">
        <f>IFERROR(INDEX('Friday Calendar'!$M:$M,MATCH(Y36,'Friday Calendar'!$A:$A,0)),"Not a Friday week – check")</f>
        <v>YATRA DAY</v>
      </c>
      <c r="P36" s="10" t="s">
        <v>143</v>
      </c>
      <c r="Q36" s="10" t="s">
        <v>134</v>
      </c>
      <c r="R36" s="10" t="s">
        <v>135</v>
      </c>
      <c r="S36" s="10" t="s">
        <v>136</v>
      </c>
      <c r="T36" s="6"/>
      <c r="U36" s="6"/>
      <c r="V36" s="11" t="s">
        <v>137</v>
      </c>
      <c r="W36" s="11" t="s">
        <v>138</v>
      </c>
      <c r="X36" s="10"/>
      <c r="Y36" s="44">
        <f t="shared" si="2"/>
        <v>46437</v>
      </c>
      <c r="Z36" s="10" t="str">
        <f t="shared" si="3"/>
        <v>Team 2 – East|46437</v>
      </c>
    </row>
    <row r="37" spans="1:26" ht="28" x14ac:dyDescent="0.2">
      <c r="A37" s="11">
        <v>33</v>
      </c>
      <c r="B37" s="10" t="s">
        <v>174</v>
      </c>
      <c r="C37" s="10" t="s">
        <v>14</v>
      </c>
      <c r="D37" s="10" t="s">
        <v>15</v>
      </c>
      <c r="E37" s="11" t="s">
        <v>182</v>
      </c>
      <c r="F37" s="10" t="s">
        <v>217</v>
      </c>
      <c r="G37" s="9" t="s">
        <v>217</v>
      </c>
      <c r="H37" s="10" t="s">
        <v>217</v>
      </c>
      <c r="I37" s="11">
        <v>1</v>
      </c>
      <c r="J37" s="42">
        <v>46444</v>
      </c>
      <c r="K37" s="11" t="str">
        <f t="shared" ref="K37:K68" si="4">TEXT(J37,"dddd")</f>
        <v>Friday</v>
      </c>
      <c r="L37" s="42">
        <f t="shared" ref="L37:L68" si="5">J37-4</f>
        <v>46440</v>
      </c>
      <c r="M37" s="10" t="s">
        <v>219</v>
      </c>
      <c r="N37" s="43">
        <v>45</v>
      </c>
      <c r="O37" s="10" t="str">
        <f>IFERROR(INDEX('Friday Calendar'!$M:$M,MATCH(Y37,'Friday Calendar'!$A:$A,0)),"Not a Friday week – check")</f>
        <v>YATRA DAY</v>
      </c>
      <c r="P37" s="10" t="s">
        <v>220</v>
      </c>
      <c r="Q37" s="10" t="s">
        <v>134</v>
      </c>
      <c r="R37" s="10" t="s">
        <v>135</v>
      </c>
      <c r="S37" s="10" t="s">
        <v>136</v>
      </c>
      <c r="T37" s="6"/>
      <c r="U37" s="6"/>
      <c r="V37" s="11" t="s">
        <v>137</v>
      </c>
      <c r="W37" s="11" t="s">
        <v>138</v>
      </c>
      <c r="X37" s="10"/>
      <c r="Y37" s="44">
        <f t="shared" ref="Y37:Y68" si="6">J37-IF(WEEKDAY(J37,2)=6,1,0)</f>
        <v>46444</v>
      </c>
      <c r="Z37" s="10" t="str">
        <f t="shared" ref="Z37:Z68" si="7">C37&amp;"|"&amp;Y37</f>
        <v>Team 2 – East|46444</v>
      </c>
    </row>
    <row r="38" spans="1:26" ht="28" x14ac:dyDescent="0.2">
      <c r="A38" s="11">
        <v>34</v>
      </c>
      <c r="B38" s="10" t="s">
        <v>184</v>
      </c>
      <c r="C38" s="10" t="s">
        <v>14</v>
      </c>
      <c r="D38" s="10" t="s">
        <v>15</v>
      </c>
      <c r="E38" s="11" t="s">
        <v>185</v>
      </c>
      <c r="F38" s="10" t="s">
        <v>221</v>
      </c>
      <c r="G38" s="9" t="s">
        <v>222</v>
      </c>
      <c r="H38" s="10" t="s">
        <v>222</v>
      </c>
      <c r="I38" s="11">
        <v>1</v>
      </c>
      <c r="J38" s="42">
        <v>46451</v>
      </c>
      <c r="K38" s="11" t="str">
        <f t="shared" si="4"/>
        <v>Friday</v>
      </c>
      <c r="L38" s="42">
        <f t="shared" si="5"/>
        <v>46447</v>
      </c>
      <c r="M38" s="10" t="s">
        <v>132</v>
      </c>
      <c r="N38" s="43"/>
      <c r="O38" s="10" t="str">
        <f>IFERROR(INDEX('Friday Calendar'!$M:$M,MATCH(Y38,'Friday Calendar'!$A:$A,0)),"Not a Friday week – check")</f>
        <v>YATRA DAY</v>
      </c>
      <c r="P38" s="10" t="s">
        <v>143</v>
      </c>
      <c r="Q38" s="10" t="s">
        <v>134</v>
      </c>
      <c r="R38" s="10" t="s">
        <v>135</v>
      </c>
      <c r="S38" s="10" t="s">
        <v>136</v>
      </c>
      <c r="T38" s="6"/>
      <c r="U38" s="6"/>
      <c r="V38" s="11" t="s">
        <v>137</v>
      </c>
      <c r="W38" s="11" t="s">
        <v>138</v>
      </c>
      <c r="X38" s="10"/>
      <c r="Y38" s="44">
        <f t="shared" si="6"/>
        <v>46451</v>
      </c>
      <c r="Z38" s="10" t="str">
        <f t="shared" si="7"/>
        <v>Team 2 – East|46451</v>
      </c>
    </row>
    <row r="39" spans="1:26" ht="28" x14ac:dyDescent="0.2">
      <c r="A39" s="11">
        <v>35</v>
      </c>
      <c r="B39" s="10" t="s">
        <v>184</v>
      </c>
      <c r="C39" s="10" t="s">
        <v>14</v>
      </c>
      <c r="D39" s="10" t="s">
        <v>15</v>
      </c>
      <c r="E39" s="11" t="s">
        <v>187</v>
      </c>
      <c r="F39" s="10" t="s">
        <v>221</v>
      </c>
      <c r="G39" s="9" t="s">
        <v>223</v>
      </c>
      <c r="H39" s="10" t="s">
        <v>223</v>
      </c>
      <c r="I39" s="11">
        <v>1</v>
      </c>
      <c r="J39" s="42">
        <v>46458</v>
      </c>
      <c r="K39" s="11" t="str">
        <f t="shared" si="4"/>
        <v>Friday</v>
      </c>
      <c r="L39" s="42">
        <f t="shared" si="5"/>
        <v>46454</v>
      </c>
      <c r="M39" s="10" t="s">
        <v>222</v>
      </c>
      <c r="N39" s="43">
        <v>75</v>
      </c>
      <c r="O39" s="10" t="str">
        <f>IFERROR(INDEX('Friday Calendar'!$M:$M,MATCH(Y39,'Friday Calendar'!$A:$A,0)),"Not a Friday week – check")</f>
        <v>YATRA DAY</v>
      </c>
      <c r="P39" s="10" t="s">
        <v>143</v>
      </c>
      <c r="Q39" s="10" t="s">
        <v>134</v>
      </c>
      <c r="R39" s="10" t="s">
        <v>135</v>
      </c>
      <c r="S39" s="10" t="s">
        <v>136</v>
      </c>
      <c r="T39" s="6"/>
      <c r="U39" s="6"/>
      <c r="V39" s="11" t="s">
        <v>137</v>
      </c>
      <c r="W39" s="11" t="s">
        <v>138</v>
      </c>
      <c r="X39" s="10" t="s">
        <v>189</v>
      </c>
      <c r="Y39" s="44">
        <f t="shared" si="6"/>
        <v>46458</v>
      </c>
      <c r="Z39" s="10" t="str">
        <f t="shared" si="7"/>
        <v>Team 2 – East|46458</v>
      </c>
    </row>
    <row r="40" spans="1:26" ht="28" x14ac:dyDescent="0.2">
      <c r="A40" s="11">
        <v>36</v>
      </c>
      <c r="B40" s="10" t="s">
        <v>184</v>
      </c>
      <c r="C40" s="10" t="s">
        <v>14</v>
      </c>
      <c r="D40" s="10" t="s">
        <v>15</v>
      </c>
      <c r="E40" s="11" t="s">
        <v>190</v>
      </c>
      <c r="F40" s="10" t="s">
        <v>221</v>
      </c>
      <c r="G40" s="9" t="s">
        <v>221</v>
      </c>
      <c r="H40" s="10" t="s">
        <v>221</v>
      </c>
      <c r="I40" s="11">
        <v>1</v>
      </c>
      <c r="J40" s="42">
        <v>46465</v>
      </c>
      <c r="K40" s="11" t="str">
        <f t="shared" si="4"/>
        <v>Friday</v>
      </c>
      <c r="L40" s="42">
        <f t="shared" si="5"/>
        <v>46461</v>
      </c>
      <c r="M40" s="10" t="s">
        <v>223</v>
      </c>
      <c r="N40" s="43">
        <v>30</v>
      </c>
      <c r="O40" s="10" t="str">
        <f>IFERROR(INDEX('Friday Calendar'!$M:$M,MATCH(Y40,'Friday Calendar'!$A:$A,0)),"Not a Friday week – check")</f>
        <v>YATRA DAY</v>
      </c>
      <c r="P40" s="10" t="s">
        <v>224</v>
      </c>
      <c r="Q40" s="10" t="s">
        <v>134</v>
      </c>
      <c r="R40" s="10" t="s">
        <v>135</v>
      </c>
      <c r="S40" s="10" t="s">
        <v>136</v>
      </c>
      <c r="T40" s="6"/>
      <c r="U40" s="6"/>
      <c r="V40" s="11" t="s">
        <v>137</v>
      </c>
      <c r="W40" s="11" t="s">
        <v>138</v>
      </c>
      <c r="X40" s="10"/>
      <c r="Y40" s="44">
        <f t="shared" si="6"/>
        <v>46465</v>
      </c>
      <c r="Z40" s="10" t="str">
        <f t="shared" si="7"/>
        <v>Team 2 – East|46465</v>
      </c>
    </row>
    <row r="41" spans="1:26" ht="28" x14ac:dyDescent="0.2">
      <c r="A41" s="11">
        <v>37</v>
      </c>
      <c r="B41" s="10" t="s">
        <v>156</v>
      </c>
      <c r="C41" s="10" t="s">
        <v>14</v>
      </c>
      <c r="D41" s="10" t="s">
        <v>15</v>
      </c>
      <c r="E41" s="11" t="s">
        <v>195</v>
      </c>
      <c r="F41" s="10" t="s">
        <v>24</v>
      </c>
      <c r="G41" s="9" t="s">
        <v>158</v>
      </c>
      <c r="H41" s="10" t="s">
        <v>159</v>
      </c>
      <c r="I41" s="11">
        <v>0</v>
      </c>
      <c r="J41" s="42">
        <v>46473</v>
      </c>
      <c r="K41" s="11" t="str">
        <f t="shared" si="4"/>
        <v>Saturday</v>
      </c>
      <c r="L41" s="42">
        <f t="shared" si="5"/>
        <v>46469</v>
      </c>
      <c r="M41" s="10" t="s">
        <v>24</v>
      </c>
      <c r="N41" s="43"/>
      <c r="O41" s="10" t="str">
        <f>IFERROR(INDEX('Friday Calendar'!$M:$M,MATCH(Y41,'Friday Calendar'!$A:$A,0)),"Not a Friday week – check")</f>
        <v>SATURDAY (Fri holiday)</v>
      </c>
      <c r="P41" s="10" t="s">
        <v>24</v>
      </c>
      <c r="Q41" s="10" t="s">
        <v>24</v>
      </c>
      <c r="R41" s="10" t="s">
        <v>24</v>
      </c>
      <c r="S41" s="10" t="s">
        <v>24</v>
      </c>
      <c r="T41" s="6" t="s">
        <v>24</v>
      </c>
      <c r="U41" s="6" t="s">
        <v>24</v>
      </c>
      <c r="V41" s="11" t="s">
        <v>24</v>
      </c>
      <c r="W41" s="11" t="s">
        <v>156</v>
      </c>
      <c r="X41" s="10" t="s">
        <v>196</v>
      </c>
      <c r="Y41" s="44">
        <f t="shared" si="6"/>
        <v>46472</v>
      </c>
      <c r="Z41" s="10" t="str">
        <f t="shared" si="7"/>
        <v>Team 2 – East|46472</v>
      </c>
    </row>
    <row r="42" spans="1:26" ht="28" x14ac:dyDescent="0.2">
      <c r="A42" s="15">
        <v>38</v>
      </c>
      <c r="B42" s="14" t="s">
        <v>140</v>
      </c>
      <c r="C42" s="14" t="s">
        <v>17</v>
      </c>
      <c r="D42" s="14" t="s">
        <v>18</v>
      </c>
      <c r="E42" s="15" t="s">
        <v>141</v>
      </c>
      <c r="F42" s="14" t="s">
        <v>225</v>
      </c>
      <c r="G42" s="13" t="s">
        <v>226</v>
      </c>
      <c r="H42" s="14" t="s">
        <v>226</v>
      </c>
      <c r="I42" s="15">
        <v>1</v>
      </c>
      <c r="J42" s="45">
        <v>46325</v>
      </c>
      <c r="K42" s="15" t="str">
        <f t="shared" si="4"/>
        <v>Friday</v>
      </c>
      <c r="L42" s="45">
        <f t="shared" si="5"/>
        <v>46321</v>
      </c>
      <c r="M42" s="14" t="s">
        <v>131</v>
      </c>
      <c r="N42" s="46">
        <v>30</v>
      </c>
      <c r="O42" s="14" t="str">
        <f>IFERROR(INDEX('Friday Calendar'!$M:$M,MATCH(Y42,'Friday Calendar'!$A:$A,0)),"Not a Friday week – check")</f>
        <v>YATRA DAY – CAUTION</v>
      </c>
      <c r="P42" s="14" t="s">
        <v>143</v>
      </c>
      <c r="Q42" s="14" t="s">
        <v>134</v>
      </c>
      <c r="R42" s="14" t="s">
        <v>135</v>
      </c>
      <c r="S42" s="14" t="s">
        <v>136</v>
      </c>
      <c r="T42" s="6"/>
      <c r="U42" s="6"/>
      <c r="V42" s="15" t="s">
        <v>137</v>
      </c>
      <c r="W42" s="15" t="s">
        <v>138</v>
      </c>
      <c r="X42" s="14" t="s">
        <v>144</v>
      </c>
      <c r="Y42" s="47">
        <f t="shared" si="6"/>
        <v>46325</v>
      </c>
      <c r="Z42" s="14" t="str">
        <f t="shared" si="7"/>
        <v>Team 3 – Central|46325</v>
      </c>
    </row>
    <row r="43" spans="1:26" ht="28" x14ac:dyDescent="0.2">
      <c r="A43" s="15">
        <v>39</v>
      </c>
      <c r="B43" s="14" t="s">
        <v>145</v>
      </c>
      <c r="C43" s="14" t="s">
        <v>17</v>
      </c>
      <c r="D43" s="14" t="s">
        <v>18</v>
      </c>
      <c r="E43" s="15" t="s">
        <v>146</v>
      </c>
      <c r="F43" s="14" t="s">
        <v>131</v>
      </c>
      <c r="G43" s="13" t="s">
        <v>227</v>
      </c>
      <c r="H43" s="14" t="s">
        <v>227</v>
      </c>
      <c r="I43" s="15">
        <v>1</v>
      </c>
      <c r="J43" s="45">
        <v>46346</v>
      </c>
      <c r="K43" s="15" t="str">
        <f t="shared" si="4"/>
        <v>Friday</v>
      </c>
      <c r="L43" s="45">
        <f t="shared" si="5"/>
        <v>46342</v>
      </c>
      <c r="M43" s="14" t="s">
        <v>132</v>
      </c>
      <c r="N43" s="46">
        <v>90</v>
      </c>
      <c r="O43" s="14" t="str">
        <f>IFERROR(INDEX('Friday Calendar'!$M:$M,MATCH(Y43,'Friday Calendar'!$A:$A,0)),"Not a Friday week – check")</f>
        <v>YATRA DAY</v>
      </c>
      <c r="P43" s="14" t="s">
        <v>143</v>
      </c>
      <c r="Q43" s="14" t="s">
        <v>134</v>
      </c>
      <c r="R43" s="14" t="s">
        <v>135</v>
      </c>
      <c r="S43" s="14" t="s">
        <v>136</v>
      </c>
      <c r="T43" s="6"/>
      <c r="U43" s="6"/>
      <c r="V43" s="15" t="s">
        <v>137</v>
      </c>
      <c r="W43" s="15" t="s">
        <v>138</v>
      </c>
      <c r="X43" s="14" t="s">
        <v>148</v>
      </c>
      <c r="Y43" s="47">
        <f t="shared" si="6"/>
        <v>46346</v>
      </c>
      <c r="Z43" s="14" t="str">
        <f t="shared" si="7"/>
        <v>Team 3 – Central|46346</v>
      </c>
    </row>
    <row r="44" spans="1:26" ht="28" x14ac:dyDescent="0.2">
      <c r="A44" s="15">
        <v>40</v>
      </c>
      <c r="B44" s="14" t="s">
        <v>145</v>
      </c>
      <c r="C44" s="14" t="s">
        <v>17</v>
      </c>
      <c r="D44" s="14" t="s">
        <v>18</v>
      </c>
      <c r="E44" s="15" t="s">
        <v>149</v>
      </c>
      <c r="F44" s="14" t="s">
        <v>131</v>
      </c>
      <c r="G44" s="13" t="s">
        <v>228</v>
      </c>
      <c r="H44" s="14" t="s">
        <v>228</v>
      </c>
      <c r="I44" s="15">
        <v>1</v>
      </c>
      <c r="J44" s="45">
        <v>46353</v>
      </c>
      <c r="K44" s="15" t="str">
        <f t="shared" si="4"/>
        <v>Friday</v>
      </c>
      <c r="L44" s="45">
        <f t="shared" si="5"/>
        <v>46349</v>
      </c>
      <c r="M44" s="14" t="s">
        <v>227</v>
      </c>
      <c r="N44" s="46">
        <v>80</v>
      </c>
      <c r="O44" s="14" t="str">
        <f>IFERROR(INDEX('Friday Calendar'!$M:$M,MATCH(Y44,'Friday Calendar'!$A:$A,0)),"Not a Friday week – check")</f>
        <v>YATRA DAY</v>
      </c>
      <c r="P44" s="14" t="s">
        <v>143</v>
      </c>
      <c r="Q44" s="14" t="s">
        <v>134</v>
      </c>
      <c r="R44" s="14" t="s">
        <v>135</v>
      </c>
      <c r="S44" s="14" t="s">
        <v>136</v>
      </c>
      <c r="T44" s="6"/>
      <c r="U44" s="6"/>
      <c r="V44" s="15" t="s">
        <v>137</v>
      </c>
      <c r="W44" s="15" t="s">
        <v>138</v>
      </c>
      <c r="X44" s="14"/>
      <c r="Y44" s="47">
        <f t="shared" si="6"/>
        <v>46353</v>
      </c>
      <c r="Z44" s="14" t="str">
        <f t="shared" si="7"/>
        <v>Team 3 – Central|46353</v>
      </c>
    </row>
    <row r="45" spans="1:26" ht="28" x14ac:dyDescent="0.2">
      <c r="A45" s="15">
        <v>41</v>
      </c>
      <c r="B45" s="14" t="s">
        <v>145</v>
      </c>
      <c r="C45" s="14" t="s">
        <v>17</v>
      </c>
      <c r="D45" s="14" t="s">
        <v>18</v>
      </c>
      <c r="E45" s="15" t="s">
        <v>152</v>
      </c>
      <c r="F45" s="14" t="s">
        <v>131</v>
      </c>
      <c r="G45" s="13" t="s">
        <v>229</v>
      </c>
      <c r="H45" s="14" t="s">
        <v>229</v>
      </c>
      <c r="I45" s="15">
        <v>1</v>
      </c>
      <c r="J45" s="45">
        <v>46360</v>
      </c>
      <c r="K45" s="15" t="str">
        <f t="shared" si="4"/>
        <v>Friday</v>
      </c>
      <c r="L45" s="45">
        <f t="shared" si="5"/>
        <v>46356</v>
      </c>
      <c r="M45" s="14" t="s">
        <v>228</v>
      </c>
      <c r="N45" s="46">
        <v>130</v>
      </c>
      <c r="O45" s="14" t="str">
        <f>IFERROR(INDEX('Friday Calendar'!$M:$M,MATCH(Y45,'Friday Calendar'!$A:$A,0)),"Not a Friday week – check")</f>
        <v>YATRA DAY</v>
      </c>
      <c r="P45" s="14" t="s">
        <v>143</v>
      </c>
      <c r="Q45" s="14" t="s">
        <v>134</v>
      </c>
      <c r="R45" s="14" t="s">
        <v>135</v>
      </c>
      <c r="S45" s="14" t="s">
        <v>136</v>
      </c>
      <c r="T45" s="6"/>
      <c r="U45" s="6"/>
      <c r="V45" s="15" t="s">
        <v>137</v>
      </c>
      <c r="W45" s="15" t="s">
        <v>138</v>
      </c>
      <c r="X45" s="14"/>
      <c r="Y45" s="47">
        <f t="shared" si="6"/>
        <v>46360</v>
      </c>
      <c r="Z45" s="14" t="str">
        <f t="shared" si="7"/>
        <v>Team 3 – Central|46360</v>
      </c>
    </row>
    <row r="46" spans="1:26" ht="28" x14ac:dyDescent="0.2">
      <c r="A46" s="15">
        <v>42</v>
      </c>
      <c r="B46" s="14" t="s">
        <v>145</v>
      </c>
      <c r="C46" s="14" t="s">
        <v>17</v>
      </c>
      <c r="D46" s="14" t="s">
        <v>18</v>
      </c>
      <c r="E46" s="15" t="s">
        <v>155</v>
      </c>
      <c r="F46" s="14" t="s">
        <v>131</v>
      </c>
      <c r="G46" s="13" t="s">
        <v>230</v>
      </c>
      <c r="H46" s="14" t="s">
        <v>230</v>
      </c>
      <c r="I46" s="15">
        <v>1</v>
      </c>
      <c r="J46" s="45">
        <v>46367</v>
      </c>
      <c r="K46" s="15" t="str">
        <f t="shared" si="4"/>
        <v>Friday</v>
      </c>
      <c r="L46" s="45">
        <f t="shared" si="5"/>
        <v>46363</v>
      </c>
      <c r="M46" s="14" t="s">
        <v>229</v>
      </c>
      <c r="N46" s="46">
        <v>100</v>
      </c>
      <c r="O46" s="14" t="str">
        <f>IFERROR(INDEX('Friday Calendar'!$M:$M,MATCH(Y46,'Friday Calendar'!$A:$A,0)),"Not a Friday week – check")</f>
        <v>YATRA DAY</v>
      </c>
      <c r="P46" s="14" t="s">
        <v>143</v>
      </c>
      <c r="Q46" s="14" t="s">
        <v>134</v>
      </c>
      <c r="R46" s="14" t="s">
        <v>135</v>
      </c>
      <c r="S46" s="14" t="s">
        <v>136</v>
      </c>
      <c r="T46" s="6"/>
      <c r="U46" s="6"/>
      <c r="V46" s="15" t="s">
        <v>137</v>
      </c>
      <c r="W46" s="15" t="s">
        <v>138</v>
      </c>
      <c r="X46" s="14"/>
      <c r="Y46" s="47">
        <f t="shared" si="6"/>
        <v>46367</v>
      </c>
      <c r="Z46" s="14" t="str">
        <f t="shared" si="7"/>
        <v>Team 3 – Central|46367</v>
      </c>
    </row>
    <row r="47" spans="1:26" ht="28" x14ac:dyDescent="0.2">
      <c r="A47" s="15">
        <v>43</v>
      </c>
      <c r="B47" s="14" t="s">
        <v>156</v>
      </c>
      <c r="C47" s="14" t="s">
        <v>17</v>
      </c>
      <c r="D47" s="14" t="s">
        <v>18</v>
      </c>
      <c r="E47" s="15" t="s">
        <v>157</v>
      </c>
      <c r="F47" s="14" t="s">
        <v>24</v>
      </c>
      <c r="G47" s="13" t="s">
        <v>158</v>
      </c>
      <c r="H47" s="14" t="s">
        <v>159</v>
      </c>
      <c r="I47" s="15">
        <v>0</v>
      </c>
      <c r="J47" s="45">
        <v>46374</v>
      </c>
      <c r="K47" s="15" t="str">
        <f t="shared" si="4"/>
        <v>Friday</v>
      </c>
      <c r="L47" s="45">
        <f t="shared" si="5"/>
        <v>46370</v>
      </c>
      <c r="M47" s="14" t="s">
        <v>24</v>
      </c>
      <c r="N47" s="46"/>
      <c r="O47" s="14" t="str">
        <f>IFERROR(INDEX('Friday Calendar'!$M:$M,MATCH(Y47,'Friday Calendar'!$A:$A,0)),"Not a Friday week – check")</f>
        <v>YATRA DAY</v>
      </c>
      <c r="P47" s="14" t="s">
        <v>24</v>
      </c>
      <c r="Q47" s="14" t="s">
        <v>24</v>
      </c>
      <c r="R47" s="14" t="s">
        <v>24</v>
      </c>
      <c r="S47" s="14" t="s">
        <v>24</v>
      </c>
      <c r="T47" s="6" t="s">
        <v>24</v>
      </c>
      <c r="U47" s="6" t="s">
        <v>24</v>
      </c>
      <c r="V47" s="15" t="s">
        <v>24</v>
      </c>
      <c r="W47" s="15" t="s">
        <v>156</v>
      </c>
      <c r="X47" s="14" t="s">
        <v>160</v>
      </c>
      <c r="Y47" s="47">
        <f t="shared" si="6"/>
        <v>46374</v>
      </c>
      <c r="Z47" s="14" t="str">
        <f t="shared" si="7"/>
        <v>Team 3 – Central|46374</v>
      </c>
    </row>
    <row r="48" spans="1:26" ht="28" x14ac:dyDescent="0.2">
      <c r="A48" s="15">
        <v>44</v>
      </c>
      <c r="B48" s="14" t="s">
        <v>161</v>
      </c>
      <c r="C48" s="14" t="s">
        <v>17</v>
      </c>
      <c r="D48" s="14" t="s">
        <v>18</v>
      </c>
      <c r="E48" s="15" t="s">
        <v>162</v>
      </c>
      <c r="F48" s="14" t="s">
        <v>225</v>
      </c>
      <c r="G48" s="13" t="s">
        <v>231</v>
      </c>
      <c r="H48" s="14" t="s">
        <v>231</v>
      </c>
      <c r="I48" s="15">
        <v>1</v>
      </c>
      <c r="J48" s="45">
        <v>46395</v>
      </c>
      <c r="K48" s="15" t="str">
        <f t="shared" si="4"/>
        <v>Friday</v>
      </c>
      <c r="L48" s="45">
        <f t="shared" si="5"/>
        <v>46391</v>
      </c>
      <c r="M48" s="14" t="s">
        <v>132</v>
      </c>
      <c r="N48" s="46">
        <v>130</v>
      </c>
      <c r="O48" s="14" t="str">
        <f>IFERROR(INDEX('Friday Calendar'!$M:$M,MATCH(Y48,'Friday Calendar'!$A:$A,0)),"Not a Friday week – check")</f>
        <v>YATRA DAY</v>
      </c>
      <c r="P48" s="14" t="s">
        <v>143</v>
      </c>
      <c r="Q48" s="14" t="s">
        <v>134</v>
      </c>
      <c r="R48" s="14" t="s">
        <v>135</v>
      </c>
      <c r="S48" s="14" t="s">
        <v>136</v>
      </c>
      <c r="T48" s="6"/>
      <c r="U48" s="6"/>
      <c r="V48" s="15" t="s">
        <v>137</v>
      </c>
      <c r="W48" s="15" t="s">
        <v>138</v>
      </c>
      <c r="X48" s="14"/>
      <c r="Y48" s="47">
        <f t="shared" si="6"/>
        <v>46395</v>
      </c>
      <c r="Z48" s="14" t="str">
        <f t="shared" si="7"/>
        <v>Team 3 – Central|46395</v>
      </c>
    </row>
    <row r="49" spans="1:26" ht="28" x14ac:dyDescent="0.2">
      <c r="A49" s="15">
        <v>45</v>
      </c>
      <c r="B49" s="14" t="s">
        <v>161</v>
      </c>
      <c r="C49" s="14" t="s">
        <v>17</v>
      </c>
      <c r="D49" s="14" t="s">
        <v>18</v>
      </c>
      <c r="E49" s="15" t="s">
        <v>165</v>
      </c>
      <c r="F49" s="14" t="s">
        <v>225</v>
      </c>
      <c r="G49" s="13" t="s">
        <v>232</v>
      </c>
      <c r="H49" s="14" t="s">
        <v>232</v>
      </c>
      <c r="I49" s="15">
        <v>1</v>
      </c>
      <c r="J49" s="45">
        <v>46402</v>
      </c>
      <c r="K49" s="15" t="str">
        <f t="shared" si="4"/>
        <v>Friday</v>
      </c>
      <c r="L49" s="45">
        <f t="shared" si="5"/>
        <v>46398</v>
      </c>
      <c r="M49" s="14" t="s">
        <v>231</v>
      </c>
      <c r="N49" s="46">
        <v>40</v>
      </c>
      <c r="O49" s="14" t="str">
        <f>IFERROR(INDEX('Friday Calendar'!$M:$M,MATCH(Y49,'Friday Calendar'!$A:$A,0)),"Not a Friday week – check")</f>
        <v>YATRA DAY – CAUTION</v>
      </c>
      <c r="P49" s="14" t="s">
        <v>233</v>
      </c>
      <c r="Q49" s="14" t="s">
        <v>134</v>
      </c>
      <c r="R49" s="14" t="s">
        <v>135</v>
      </c>
      <c r="S49" s="14" t="s">
        <v>136</v>
      </c>
      <c r="T49" s="6"/>
      <c r="U49" s="6"/>
      <c r="V49" s="15" t="s">
        <v>137</v>
      </c>
      <c r="W49" s="15" t="s">
        <v>138</v>
      </c>
      <c r="X49" s="14" t="s">
        <v>234</v>
      </c>
      <c r="Y49" s="47">
        <f t="shared" si="6"/>
        <v>46402</v>
      </c>
      <c r="Z49" s="14" t="str">
        <f t="shared" si="7"/>
        <v>Team 3 – Central|46402</v>
      </c>
    </row>
    <row r="50" spans="1:26" ht="28" x14ac:dyDescent="0.2">
      <c r="A50" s="15">
        <v>46</v>
      </c>
      <c r="B50" s="14" t="s">
        <v>161</v>
      </c>
      <c r="C50" s="14" t="s">
        <v>17</v>
      </c>
      <c r="D50" s="14" t="s">
        <v>18</v>
      </c>
      <c r="E50" s="15" t="s">
        <v>168</v>
      </c>
      <c r="F50" s="14" t="s">
        <v>225</v>
      </c>
      <c r="G50" s="13" t="s">
        <v>235</v>
      </c>
      <c r="H50" s="14" t="s">
        <v>235</v>
      </c>
      <c r="I50" s="15">
        <v>1</v>
      </c>
      <c r="J50" s="45">
        <v>46409</v>
      </c>
      <c r="K50" s="15" t="str">
        <f t="shared" si="4"/>
        <v>Friday</v>
      </c>
      <c r="L50" s="45">
        <f t="shared" si="5"/>
        <v>46405</v>
      </c>
      <c r="M50" s="14" t="s">
        <v>232</v>
      </c>
      <c r="N50" s="46">
        <v>70</v>
      </c>
      <c r="O50" s="14" t="str">
        <f>IFERROR(INDEX('Friday Calendar'!$M:$M,MATCH(Y50,'Friday Calendar'!$A:$A,0)),"Not a Friday week – check")</f>
        <v>YATRA DAY</v>
      </c>
      <c r="P50" s="14" t="s">
        <v>236</v>
      </c>
      <c r="Q50" s="14" t="s">
        <v>134</v>
      </c>
      <c r="R50" s="14" t="s">
        <v>135</v>
      </c>
      <c r="S50" s="14" t="s">
        <v>136</v>
      </c>
      <c r="T50" s="6"/>
      <c r="U50" s="6"/>
      <c r="V50" s="15" t="s">
        <v>137</v>
      </c>
      <c r="W50" s="15" t="s">
        <v>138</v>
      </c>
      <c r="X50" s="14"/>
      <c r="Y50" s="47">
        <f t="shared" si="6"/>
        <v>46409</v>
      </c>
      <c r="Z50" s="14" t="str">
        <f t="shared" si="7"/>
        <v>Team 3 – Central|46409</v>
      </c>
    </row>
    <row r="51" spans="1:26" ht="28" x14ac:dyDescent="0.2">
      <c r="A51" s="15">
        <v>47</v>
      </c>
      <c r="B51" s="14" t="s">
        <v>161</v>
      </c>
      <c r="C51" s="14" t="s">
        <v>17</v>
      </c>
      <c r="D51" s="14" t="s">
        <v>18</v>
      </c>
      <c r="E51" s="15" t="s">
        <v>171</v>
      </c>
      <c r="F51" s="14" t="s">
        <v>225</v>
      </c>
      <c r="G51" s="13" t="s">
        <v>225</v>
      </c>
      <c r="H51" s="14" t="s">
        <v>225</v>
      </c>
      <c r="I51" s="15">
        <v>1</v>
      </c>
      <c r="J51" s="45">
        <v>46416</v>
      </c>
      <c r="K51" s="15" t="str">
        <f t="shared" si="4"/>
        <v>Friday</v>
      </c>
      <c r="L51" s="45">
        <f t="shared" si="5"/>
        <v>46412</v>
      </c>
      <c r="M51" s="14" t="s">
        <v>235</v>
      </c>
      <c r="N51" s="46">
        <v>60</v>
      </c>
      <c r="O51" s="14" t="str">
        <f>IFERROR(INDEX('Friday Calendar'!$M:$M,MATCH(Y51,'Friday Calendar'!$A:$A,0)),"Not a Friday week – check")</f>
        <v>YATRA DAY</v>
      </c>
      <c r="P51" s="14" t="s">
        <v>237</v>
      </c>
      <c r="Q51" s="14" t="s">
        <v>134</v>
      </c>
      <c r="R51" s="14" t="s">
        <v>135</v>
      </c>
      <c r="S51" s="14" t="s">
        <v>136</v>
      </c>
      <c r="T51" s="6"/>
      <c r="U51" s="6"/>
      <c r="V51" s="15" t="s">
        <v>137</v>
      </c>
      <c r="W51" s="15" t="s">
        <v>138</v>
      </c>
      <c r="X51" s="14"/>
      <c r="Y51" s="47">
        <f t="shared" si="6"/>
        <v>46416</v>
      </c>
      <c r="Z51" s="14" t="str">
        <f t="shared" si="7"/>
        <v>Team 3 – Central|46416</v>
      </c>
    </row>
    <row r="52" spans="1:26" ht="28" x14ac:dyDescent="0.2">
      <c r="A52" s="15">
        <v>48</v>
      </c>
      <c r="B52" s="14" t="s">
        <v>174</v>
      </c>
      <c r="C52" s="14" t="s">
        <v>17</v>
      </c>
      <c r="D52" s="14" t="s">
        <v>18</v>
      </c>
      <c r="E52" s="15" t="s">
        <v>175</v>
      </c>
      <c r="F52" s="14" t="s">
        <v>221</v>
      </c>
      <c r="G52" s="13" t="s">
        <v>238</v>
      </c>
      <c r="H52" s="14" t="s">
        <v>238</v>
      </c>
      <c r="I52" s="15">
        <v>1</v>
      </c>
      <c r="J52" s="45">
        <v>46423</v>
      </c>
      <c r="K52" s="15" t="str">
        <f t="shared" si="4"/>
        <v>Friday</v>
      </c>
      <c r="L52" s="45">
        <f t="shared" si="5"/>
        <v>46419</v>
      </c>
      <c r="M52" s="14" t="s">
        <v>132</v>
      </c>
      <c r="N52" s="46"/>
      <c r="O52" s="14" t="str">
        <f>IFERROR(INDEX('Friday Calendar'!$M:$M,MATCH(Y52,'Friday Calendar'!$A:$A,0)),"Not a Friday week – check")</f>
        <v>YATRA DAY</v>
      </c>
      <c r="P52" s="14" t="s">
        <v>239</v>
      </c>
      <c r="Q52" s="14" t="s">
        <v>134</v>
      </c>
      <c r="R52" s="14" t="s">
        <v>135</v>
      </c>
      <c r="S52" s="14" t="s">
        <v>136</v>
      </c>
      <c r="T52" s="6"/>
      <c r="U52" s="6"/>
      <c r="V52" s="15" t="s">
        <v>137</v>
      </c>
      <c r="W52" s="15" t="s">
        <v>138</v>
      </c>
      <c r="X52" s="14"/>
      <c r="Y52" s="47">
        <f t="shared" si="6"/>
        <v>46423</v>
      </c>
      <c r="Z52" s="14" t="str">
        <f t="shared" si="7"/>
        <v>Team 3 – Central|46423</v>
      </c>
    </row>
    <row r="53" spans="1:26" ht="28" x14ac:dyDescent="0.2">
      <c r="A53" s="15">
        <v>49</v>
      </c>
      <c r="B53" s="14" t="s">
        <v>174</v>
      </c>
      <c r="C53" s="14" t="s">
        <v>17</v>
      </c>
      <c r="D53" s="14" t="s">
        <v>18</v>
      </c>
      <c r="E53" s="15" t="s">
        <v>177</v>
      </c>
      <c r="F53" s="14" t="s">
        <v>240</v>
      </c>
      <c r="G53" s="13" t="s">
        <v>241</v>
      </c>
      <c r="H53" s="14" t="s">
        <v>241</v>
      </c>
      <c r="I53" s="15">
        <v>1</v>
      </c>
      <c r="J53" s="45">
        <v>46430</v>
      </c>
      <c r="K53" s="15" t="str">
        <f t="shared" si="4"/>
        <v>Friday</v>
      </c>
      <c r="L53" s="45">
        <f t="shared" si="5"/>
        <v>46426</v>
      </c>
      <c r="M53" s="14" t="s">
        <v>238</v>
      </c>
      <c r="N53" s="46">
        <v>60</v>
      </c>
      <c r="O53" s="14" t="str">
        <f>IFERROR(INDEX('Friday Calendar'!$M:$M,MATCH(Y53,'Friday Calendar'!$A:$A,0)),"Not a Friday week – check")</f>
        <v>YATRA DAY – CAUTION</v>
      </c>
      <c r="P53" s="14" t="s">
        <v>143</v>
      </c>
      <c r="Q53" s="14" t="s">
        <v>134</v>
      </c>
      <c r="R53" s="14" t="s">
        <v>135</v>
      </c>
      <c r="S53" s="14" t="s">
        <v>136</v>
      </c>
      <c r="T53" s="6"/>
      <c r="U53" s="6"/>
      <c r="V53" s="15" t="s">
        <v>137</v>
      </c>
      <c r="W53" s="15" t="s">
        <v>138</v>
      </c>
      <c r="X53" s="14" t="s">
        <v>179</v>
      </c>
      <c r="Y53" s="47">
        <f t="shared" si="6"/>
        <v>46430</v>
      </c>
      <c r="Z53" s="14" t="str">
        <f t="shared" si="7"/>
        <v>Team 3 – Central|46430</v>
      </c>
    </row>
    <row r="54" spans="1:26" ht="28" x14ac:dyDescent="0.2">
      <c r="A54" s="15">
        <v>50</v>
      </c>
      <c r="B54" s="14" t="s">
        <v>174</v>
      </c>
      <c r="C54" s="14" t="s">
        <v>17</v>
      </c>
      <c r="D54" s="14" t="s">
        <v>18</v>
      </c>
      <c r="E54" s="15" t="s">
        <v>180</v>
      </c>
      <c r="F54" s="14" t="s">
        <v>240</v>
      </c>
      <c r="G54" s="13" t="s">
        <v>242</v>
      </c>
      <c r="H54" s="14" t="s">
        <v>242</v>
      </c>
      <c r="I54" s="15">
        <v>1</v>
      </c>
      <c r="J54" s="45">
        <v>46437</v>
      </c>
      <c r="K54" s="15" t="str">
        <f t="shared" si="4"/>
        <v>Friday</v>
      </c>
      <c r="L54" s="45">
        <f t="shared" si="5"/>
        <v>46433</v>
      </c>
      <c r="M54" s="14" t="s">
        <v>241</v>
      </c>
      <c r="N54" s="46">
        <v>45</v>
      </c>
      <c r="O54" s="14" t="str">
        <f>IFERROR(INDEX('Friday Calendar'!$M:$M,MATCH(Y54,'Friday Calendar'!$A:$A,0)),"Not a Friday week – check")</f>
        <v>YATRA DAY</v>
      </c>
      <c r="P54" s="14" t="s">
        <v>243</v>
      </c>
      <c r="Q54" s="14" t="s">
        <v>134</v>
      </c>
      <c r="R54" s="14" t="s">
        <v>135</v>
      </c>
      <c r="S54" s="14" t="s">
        <v>136</v>
      </c>
      <c r="T54" s="6"/>
      <c r="U54" s="6"/>
      <c r="V54" s="15" t="s">
        <v>137</v>
      </c>
      <c r="W54" s="15" t="s">
        <v>138</v>
      </c>
      <c r="X54" s="14"/>
      <c r="Y54" s="47">
        <f t="shared" si="6"/>
        <v>46437</v>
      </c>
      <c r="Z54" s="14" t="str">
        <f t="shared" si="7"/>
        <v>Team 3 – Central|46437</v>
      </c>
    </row>
    <row r="55" spans="1:26" ht="28" x14ac:dyDescent="0.2">
      <c r="A55" s="15">
        <v>51</v>
      </c>
      <c r="B55" s="14" t="s">
        <v>174</v>
      </c>
      <c r="C55" s="14" t="s">
        <v>17</v>
      </c>
      <c r="D55" s="14" t="s">
        <v>18</v>
      </c>
      <c r="E55" s="15" t="s">
        <v>182</v>
      </c>
      <c r="F55" s="14" t="s">
        <v>240</v>
      </c>
      <c r="G55" s="13" t="s">
        <v>244</v>
      </c>
      <c r="H55" s="14" t="s">
        <v>244</v>
      </c>
      <c r="I55" s="15">
        <v>1</v>
      </c>
      <c r="J55" s="45">
        <v>46444</v>
      </c>
      <c r="K55" s="15" t="str">
        <f t="shared" si="4"/>
        <v>Friday</v>
      </c>
      <c r="L55" s="45">
        <f t="shared" si="5"/>
        <v>46440</v>
      </c>
      <c r="M55" s="14" t="s">
        <v>242</v>
      </c>
      <c r="N55" s="46">
        <v>90</v>
      </c>
      <c r="O55" s="14" t="str">
        <f>IFERROR(INDEX('Friday Calendar'!$M:$M,MATCH(Y55,'Friday Calendar'!$A:$A,0)),"Not a Friday week – check")</f>
        <v>YATRA DAY</v>
      </c>
      <c r="P55" s="14" t="s">
        <v>143</v>
      </c>
      <c r="Q55" s="14" t="s">
        <v>134</v>
      </c>
      <c r="R55" s="14" t="s">
        <v>135</v>
      </c>
      <c r="S55" s="14" t="s">
        <v>136</v>
      </c>
      <c r="T55" s="6"/>
      <c r="U55" s="6"/>
      <c r="V55" s="15" t="s">
        <v>137</v>
      </c>
      <c r="W55" s="15" t="s">
        <v>138</v>
      </c>
      <c r="X55" s="14"/>
      <c r="Y55" s="47">
        <f t="shared" si="6"/>
        <v>46444</v>
      </c>
      <c r="Z55" s="14" t="str">
        <f t="shared" si="7"/>
        <v>Team 3 – Central|46444</v>
      </c>
    </row>
    <row r="56" spans="1:26" ht="28" x14ac:dyDescent="0.2">
      <c r="A56" s="15">
        <v>52</v>
      </c>
      <c r="B56" s="14" t="s">
        <v>184</v>
      </c>
      <c r="C56" s="14" t="s">
        <v>17</v>
      </c>
      <c r="D56" s="14" t="s">
        <v>18</v>
      </c>
      <c r="E56" s="15" t="s">
        <v>185</v>
      </c>
      <c r="F56" s="14" t="s">
        <v>245</v>
      </c>
      <c r="G56" s="13" t="s">
        <v>246</v>
      </c>
      <c r="H56" s="14" t="s">
        <v>247</v>
      </c>
      <c r="I56" s="15">
        <v>3</v>
      </c>
      <c r="J56" s="45">
        <v>46451</v>
      </c>
      <c r="K56" s="15" t="str">
        <f t="shared" si="4"/>
        <v>Friday</v>
      </c>
      <c r="L56" s="45">
        <f t="shared" si="5"/>
        <v>46447</v>
      </c>
      <c r="M56" s="14" t="s">
        <v>132</v>
      </c>
      <c r="N56" s="46"/>
      <c r="O56" s="14" t="str">
        <f>IFERROR(INDEX('Friday Calendar'!$M:$M,MATCH(Y56,'Friday Calendar'!$A:$A,0)),"Not a Friday week – check")</f>
        <v>YATRA DAY</v>
      </c>
      <c r="P56" s="14" t="s">
        <v>248</v>
      </c>
      <c r="Q56" s="14" t="s">
        <v>134</v>
      </c>
      <c r="R56" s="14" t="s">
        <v>135</v>
      </c>
      <c r="S56" s="14" t="s">
        <v>136</v>
      </c>
      <c r="T56" s="6"/>
      <c r="U56" s="6"/>
      <c r="V56" s="15" t="s">
        <v>193</v>
      </c>
      <c r="W56" s="15" t="s">
        <v>138</v>
      </c>
      <c r="X56" s="14" t="s">
        <v>249</v>
      </c>
      <c r="Y56" s="47">
        <f t="shared" si="6"/>
        <v>46451</v>
      </c>
      <c r="Z56" s="14" t="str">
        <f t="shared" si="7"/>
        <v>Team 3 – Central|46451</v>
      </c>
    </row>
    <row r="57" spans="1:26" ht="28" x14ac:dyDescent="0.2">
      <c r="A57" s="15">
        <v>53</v>
      </c>
      <c r="B57" s="14" t="s">
        <v>184</v>
      </c>
      <c r="C57" s="14" t="s">
        <v>17</v>
      </c>
      <c r="D57" s="14" t="s">
        <v>18</v>
      </c>
      <c r="E57" s="15" t="s">
        <v>187</v>
      </c>
      <c r="F57" s="14" t="s">
        <v>245</v>
      </c>
      <c r="G57" s="13" t="s">
        <v>245</v>
      </c>
      <c r="H57" s="14" t="s">
        <v>245</v>
      </c>
      <c r="I57" s="15">
        <v>1</v>
      </c>
      <c r="J57" s="45">
        <v>46458</v>
      </c>
      <c r="K57" s="15" t="str">
        <f t="shared" si="4"/>
        <v>Friday</v>
      </c>
      <c r="L57" s="45">
        <f t="shared" si="5"/>
        <v>46454</v>
      </c>
      <c r="M57" s="14" t="s">
        <v>250</v>
      </c>
      <c r="N57" s="46">
        <v>60</v>
      </c>
      <c r="O57" s="14" t="str">
        <f>IFERROR(INDEX('Friday Calendar'!$M:$M,MATCH(Y57,'Friday Calendar'!$A:$A,0)),"Not a Friday week – check")</f>
        <v>YATRA DAY</v>
      </c>
      <c r="P57" s="14" t="s">
        <v>251</v>
      </c>
      <c r="Q57" s="14" t="s">
        <v>134</v>
      </c>
      <c r="R57" s="14" t="s">
        <v>135</v>
      </c>
      <c r="S57" s="14" t="s">
        <v>136</v>
      </c>
      <c r="T57" s="6"/>
      <c r="U57" s="6"/>
      <c r="V57" s="15" t="s">
        <v>137</v>
      </c>
      <c r="W57" s="15" t="s">
        <v>138</v>
      </c>
      <c r="X57" s="14" t="s">
        <v>189</v>
      </c>
      <c r="Y57" s="47">
        <f t="shared" si="6"/>
        <v>46458</v>
      </c>
      <c r="Z57" s="14" t="str">
        <f t="shared" si="7"/>
        <v>Team 3 – Central|46458</v>
      </c>
    </row>
    <row r="58" spans="1:26" ht="28" x14ac:dyDescent="0.2">
      <c r="A58" s="15">
        <v>54</v>
      </c>
      <c r="B58" s="14" t="s">
        <v>156</v>
      </c>
      <c r="C58" s="14" t="s">
        <v>17</v>
      </c>
      <c r="D58" s="14" t="s">
        <v>18</v>
      </c>
      <c r="E58" s="15" t="s">
        <v>195</v>
      </c>
      <c r="F58" s="14" t="s">
        <v>24</v>
      </c>
      <c r="G58" s="13" t="s">
        <v>158</v>
      </c>
      <c r="H58" s="14" t="s">
        <v>159</v>
      </c>
      <c r="I58" s="15">
        <v>0</v>
      </c>
      <c r="J58" s="45">
        <v>46465</v>
      </c>
      <c r="K58" s="15" t="str">
        <f t="shared" si="4"/>
        <v>Friday</v>
      </c>
      <c r="L58" s="45">
        <f t="shared" si="5"/>
        <v>46461</v>
      </c>
      <c r="M58" s="14" t="s">
        <v>24</v>
      </c>
      <c r="N58" s="46"/>
      <c r="O58" s="14" t="str">
        <f>IFERROR(INDEX('Friday Calendar'!$M:$M,MATCH(Y58,'Friday Calendar'!$A:$A,0)),"Not a Friday week – check")</f>
        <v>YATRA DAY</v>
      </c>
      <c r="P58" s="14" t="s">
        <v>24</v>
      </c>
      <c r="Q58" s="14" t="s">
        <v>24</v>
      </c>
      <c r="R58" s="14" t="s">
        <v>24</v>
      </c>
      <c r="S58" s="14" t="s">
        <v>24</v>
      </c>
      <c r="T58" s="6" t="s">
        <v>24</v>
      </c>
      <c r="U58" s="6" t="s">
        <v>24</v>
      </c>
      <c r="V58" s="15" t="s">
        <v>24</v>
      </c>
      <c r="W58" s="15" t="s">
        <v>156</v>
      </c>
      <c r="X58" s="14" t="s">
        <v>252</v>
      </c>
      <c r="Y58" s="47">
        <f t="shared" si="6"/>
        <v>46465</v>
      </c>
      <c r="Z58" s="14" t="str">
        <f t="shared" si="7"/>
        <v>Team 3 – Central|46465</v>
      </c>
    </row>
    <row r="59" spans="1:26" ht="28" x14ac:dyDescent="0.2">
      <c r="A59" s="15">
        <v>55</v>
      </c>
      <c r="B59" s="14" t="s">
        <v>156</v>
      </c>
      <c r="C59" s="14" t="s">
        <v>17</v>
      </c>
      <c r="D59" s="14" t="s">
        <v>18</v>
      </c>
      <c r="E59" s="15" t="s">
        <v>253</v>
      </c>
      <c r="F59" s="14" t="s">
        <v>24</v>
      </c>
      <c r="G59" s="13" t="s">
        <v>158</v>
      </c>
      <c r="H59" s="14" t="s">
        <v>159</v>
      </c>
      <c r="I59" s="15">
        <v>0</v>
      </c>
      <c r="J59" s="45">
        <v>46473</v>
      </c>
      <c r="K59" s="15" t="str">
        <f t="shared" si="4"/>
        <v>Saturday</v>
      </c>
      <c r="L59" s="45">
        <f t="shared" si="5"/>
        <v>46469</v>
      </c>
      <c r="M59" s="14" t="s">
        <v>24</v>
      </c>
      <c r="N59" s="46"/>
      <c r="O59" s="14" t="str">
        <f>IFERROR(INDEX('Friday Calendar'!$M:$M,MATCH(Y59,'Friday Calendar'!$A:$A,0)),"Not a Friday week – check")</f>
        <v>SATURDAY (Fri holiday)</v>
      </c>
      <c r="P59" s="14" t="s">
        <v>24</v>
      </c>
      <c r="Q59" s="14" t="s">
        <v>24</v>
      </c>
      <c r="R59" s="14" t="s">
        <v>24</v>
      </c>
      <c r="S59" s="14" t="s">
        <v>24</v>
      </c>
      <c r="T59" s="6" t="s">
        <v>24</v>
      </c>
      <c r="U59" s="6" t="s">
        <v>24</v>
      </c>
      <c r="V59" s="15" t="s">
        <v>24</v>
      </c>
      <c r="W59" s="15" t="s">
        <v>156</v>
      </c>
      <c r="X59" s="14" t="s">
        <v>196</v>
      </c>
      <c r="Y59" s="47">
        <f t="shared" si="6"/>
        <v>46472</v>
      </c>
      <c r="Z59" s="14" t="str">
        <f t="shared" si="7"/>
        <v>Team 3 – Central|46472</v>
      </c>
    </row>
    <row r="60" spans="1:26" ht="28" x14ac:dyDescent="0.2">
      <c r="A60" s="19">
        <v>56</v>
      </c>
      <c r="B60" s="18" t="s">
        <v>140</v>
      </c>
      <c r="C60" s="18" t="s">
        <v>19</v>
      </c>
      <c r="D60" s="18" t="s">
        <v>20</v>
      </c>
      <c r="E60" s="19" t="s">
        <v>141</v>
      </c>
      <c r="F60" s="18" t="s">
        <v>254</v>
      </c>
      <c r="G60" s="17" t="s">
        <v>255</v>
      </c>
      <c r="H60" s="18" t="s">
        <v>255</v>
      </c>
      <c r="I60" s="19">
        <v>1</v>
      </c>
      <c r="J60" s="48">
        <v>46325</v>
      </c>
      <c r="K60" s="19" t="str">
        <f t="shared" si="4"/>
        <v>Friday</v>
      </c>
      <c r="L60" s="48">
        <f t="shared" si="5"/>
        <v>46321</v>
      </c>
      <c r="M60" s="18" t="s">
        <v>131</v>
      </c>
      <c r="N60" s="49">
        <v>90</v>
      </c>
      <c r="O60" s="18" t="str">
        <f>IFERROR(INDEX('Friday Calendar'!$M:$M,MATCH(Y60,'Friday Calendar'!$A:$A,0)),"Not a Friday week – check")</f>
        <v>YATRA DAY – CAUTION</v>
      </c>
      <c r="P60" s="18" t="s">
        <v>143</v>
      </c>
      <c r="Q60" s="18" t="s">
        <v>134</v>
      </c>
      <c r="R60" s="18" t="s">
        <v>135</v>
      </c>
      <c r="S60" s="18" t="s">
        <v>136</v>
      </c>
      <c r="T60" s="6"/>
      <c r="U60" s="6"/>
      <c r="V60" s="19" t="s">
        <v>137</v>
      </c>
      <c r="W60" s="19" t="s">
        <v>138</v>
      </c>
      <c r="X60" s="18" t="s">
        <v>256</v>
      </c>
      <c r="Y60" s="50">
        <f t="shared" si="6"/>
        <v>46325</v>
      </c>
      <c r="Z60" s="18" t="str">
        <f t="shared" si="7"/>
        <v>Team 4 – South-West &amp; Bundelkhand|46325</v>
      </c>
    </row>
    <row r="61" spans="1:26" ht="28" x14ac:dyDescent="0.2">
      <c r="A61" s="19">
        <v>57</v>
      </c>
      <c r="B61" s="18" t="s">
        <v>145</v>
      </c>
      <c r="C61" s="18" t="s">
        <v>19</v>
      </c>
      <c r="D61" s="18" t="s">
        <v>20</v>
      </c>
      <c r="E61" s="19" t="s">
        <v>146</v>
      </c>
      <c r="F61" s="18" t="s">
        <v>245</v>
      </c>
      <c r="G61" s="17" t="s">
        <v>257</v>
      </c>
      <c r="H61" s="18" t="s">
        <v>257</v>
      </c>
      <c r="I61" s="19">
        <v>1</v>
      </c>
      <c r="J61" s="48">
        <v>46346</v>
      </c>
      <c r="K61" s="19" t="str">
        <f t="shared" si="4"/>
        <v>Friday</v>
      </c>
      <c r="L61" s="48">
        <f t="shared" si="5"/>
        <v>46342</v>
      </c>
      <c r="M61" s="18" t="s">
        <v>132</v>
      </c>
      <c r="N61" s="49"/>
      <c r="O61" s="18" t="str">
        <f>IFERROR(INDEX('Friday Calendar'!$M:$M,MATCH(Y61,'Friday Calendar'!$A:$A,0)),"Not a Friday week – check")</f>
        <v>YATRA DAY</v>
      </c>
      <c r="P61" s="18" t="s">
        <v>143</v>
      </c>
      <c r="Q61" s="18" t="s">
        <v>134</v>
      </c>
      <c r="R61" s="18" t="s">
        <v>135</v>
      </c>
      <c r="S61" s="18" t="s">
        <v>136</v>
      </c>
      <c r="T61" s="6"/>
      <c r="U61" s="6"/>
      <c r="V61" s="19" t="s">
        <v>137</v>
      </c>
      <c r="W61" s="19" t="s">
        <v>138</v>
      </c>
      <c r="X61" s="18" t="s">
        <v>148</v>
      </c>
      <c r="Y61" s="50">
        <f t="shared" si="6"/>
        <v>46346</v>
      </c>
      <c r="Z61" s="18" t="str">
        <f t="shared" si="7"/>
        <v>Team 4 – South-West &amp; Bundelkhand|46346</v>
      </c>
    </row>
    <row r="62" spans="1:26" ht="28" x14ac:dyDescent="0.2">
      <c r="A62" s="19">
        <v>58</v>
      </c>
      <c r="B62" s="18" t="s">
        <v>145</v>
      </c>
      <c r="C62" s="18" t="s">
        <v>19</v>
      </c>
      <c r="D62" s="18" t="s">
        <v>20</v>
      </c>
      <c r="E62" s="19" t="s">
        <v>149</v>
      </c>
      <c r="F62" s="18" t="s">
        <v>254</v>
      </c>
      <c r="G62" s="17" t="s">
        <v>258</v>
      </c>
      <c r="H62" s="18" t="s">
        <v>258</v>
      </c>
      <c r="I62" s="19">
        <v>1</v>
      </c>
      <c r="J62" s="48">
        <v>46353</v>
      </c>
      <c r="K62" s="19" t="str">
        <f t="shared" si="4"/>
        <v>Friday</v>
      </c>
      <c r="L62" s="48">
        <f t="shared" si="5"/>
        <v>46349</v>
      </c>
      <c r="M62" s="18" t="s">
        <v>257</v>
      </c>
      <c r="N62" s="49">
        <v>120</v>
      </c>
      <c r="O62" s="18" t="str">
        <f>IFERROR(INDEX('Friday Calendar'!$M:$M,MATCH(Y62,'Friday Calendar'!$A:$A,0)),"Not a Friday week – check")</f>
        <v>YATRA DAY</v>
      </c>
      <c r="P62" s="18" t="s">
        <v>143</v>
      </c>
      <c r="Q62" s="18" t="s">
        <v>134</v>
      </c>
      <c r="R62" s="18" t="s">
        <v>135</v>
      </c>
      <c r="S62" s="18" t="s">
        <v>136</v>
      </c>
      <c r="T62" s="6"/>
      <c r="U62" s="6"/>
      <c r="V62" s="19" t="s">
        <v>137</v>
      </c>
      <c r="W62" s="19" t="s">
        <v>138</v>
      </c>
      <c r="X62" s="18"/>
      <c r="Y62" s="50">
        <f t="shared" si="6"/>
        <v>46353</v>
      </c>
      <c r="Z62" s="18" t="str">
        <f t="shared" si="7"/>
        <v>Team 4 – South-West &amp; Bundelkhand|46353</v>
      </c>
    </row>
    <row r="63" spans="1:26" ht="28" x14ac:dyDescent="0.2">
      <c r="A63" s="19">
        <v>59</v>
      </c>
      <c r="B63" s="18" t="s">
        <v>145</v>
      </c>
      <c r="C63" s="18" t="s">
        <v>19</v>
      </c>
      <c r="D63" s="18" t="s">
        <v>20</v>
      </c>
      <c r="E63" s="19" t="s">
        <v>152</v>
      </c>
      <c r="F63" s="18" t="s">
        <v>254</v>
      </c>
      <c r="G63" s="17" t="s">
        <v>259</v>
      </c>
      <c r="H63" s="18" t="s">
        <v>259</v>
      </c>
      <c r="I63" s="19">
        <v>1</v>
      </c>
      <c r="J63" s="48">
        <v>46360</v>
      </c>
      <c r="K63" s="19" t="str">
        <f t="shared" si="4"/>
        <v>Friday</v>
      </c>
      <c r="L63" s="48">
        <f t="shared" si="5"/>
        <v>46356</v>
      </c>
      <c r="M63" s="18" t="s">
        <v>258</v>
      </c>
      <c r="N63" s="49">
        <v>110</v>
      </c>
      <c r="O63" s="18" t="str">
        <f>IFERROR(INDEX('Friday Calendar'!$M:$M,MATCH(Y63,'Friday Calendar'!$A:$A,0)),"Not a Friday week – check")</f>
        <v>YATRA DAY</v>
      </c>
      <c r="P63" s="18" t="s">
        <v>143</v>
      </c>
      <c r="Q63" s="18" t="s">
        <v>134</v>
      </c>
      <c r="R63" s="18" t="s">
        <v>135</v>
      </c>
      <c r="S63" s="18" t="s">
        <v>136</v>
      </c>
      <c r="T63" s="6"/>
      <c r="U63" s="6"/>
      <c r="V63" s="19" t="s">
        <v>137</v>
      </c>
      <c r="W63" s="19" t="s">
        <v>138</v>
      </c>
      <c r="X63" s="18"/>
      <c r="Y63" s="50">
        <f t="shared" si="6"/>
        <v>46360</v>
      </c>
      <c r="Z63" s="18" t="str">
        <f t="shared" si="7"/>
        <v>Team 4 – South-West &amp; Bundelkhand|46360</v>
      </c>
    </row>
    <row r="64" spans="1:26" ht="28" x14ac:dyDescent="0.2">
      <c r="A64" s="19">
        <v>60</v>
      </c>
      <c r="B64" s="18" t="s">
        <v>145</v>
      </c>
      <c r="C64" s="18" t="s">
        <v>19</v>
      </c>
      <c r="D64" s="18" t="s">
        <v>20</v>
      </c>
      <c r="E64" s="19" t="s">
        <v>155</v>
      </c>
      <c r="F64" s="18" t="s">
        <v>254</v>
      </c>
      <c r="G64" s="17" t="s">
        <v>260</v>
      </c>
      <c r="H64" s="18" t="s">
        <v>261</v>
      </c>
      <c r="I64" s="19">
        <v>3</v>
      </c>
      <c r="J64" s="48">
        <v>46367</v>
      </c>
      <c r="K64" s="19" t="str">
        <f t="shared" si="4"/>
        <v>Friday</v>
      </c>
      <c r="L64" s="48">
        <f t="shared" si="5"/>
        <v>46363</v>
      </c>
      <c r="M64" s="18" t="s">
        <v>259</v>
      </c>
      <c r="N64" s="49">
        <v>120</v>
      </c>
      <c r="O64" s="18" t="str">
        <f>IFERROR(INDEX('Friday Calendar'!$M:$M,MATCH(Y64,'Friday Calendar'!$A:$A,0)),"Not a Friday week – check")</f>
        <v>YATRA DAY</v>
      </c>
      <c r="P64" s="18" t="s">
        <v>143</v>
      </c>
      <c r="Q64" s="18" t="s">
        <v>134</v>
      </c>
      <c r="R64" s="18" t="s">
        <v>135</v>
      </c>
      <c r="S64" s="18" t="s">
        <v>136</v>
      </c>
      <c r="T64" s="6"/>
      <c r="U64" s="6"/>
      <c r="V64" s="19" t="s">
        <v>193</v>
      </c>
      <c r="W64" s="19" t="s">
        <v>138</v>
      </c>
      <c r="X64" s="18" t="s">
        <v>262</v>
      </c>
      <c r="Y64" s="50">
        <f t="shared" si="6"/>
        <v>46367</v>
      </c>
      <c r="Z64" s="18" t="str">
        <f t="shared" si="7"/>
        <v>Team 4 – South-West &amp; Bundelkhand|46367</v>
      </c>
    </row>
    <row r="65" spans="1:26" ht="28" x14ac:dyDescent="0.2">
      <c r="A65" s="19">
        <v>61</v>
      </c>
      <c r="B65" s="18" t="s">
        <v>156</v>
      </c>
      <c r="C65" s="18" t="s">
        <v>19</v>
      </c>
      <c r="D65" s="18" t="s">
        <v>20</v>
      </c>
      <c r="E65" s="19" t="s">
        <v>157</v>
      </c>
      <c r="F65" s="18" t="s">
        <v>24</v>
      </c>
      <c r="G65" s="17" t="s">
        <v>158</v>
      </c>
      <c r="H65" s="18" t="s">
        <v>159</v>
      </c>
      <c r="I65" s="19">
        <v>0</v>
      </c>
      <c r="J65" s="48">
        <v>46374</v>
      </c>
      <c r="K65" s="19" t="str">
        <f t="shared" si="4"/>
        <v>Friday</v>
      </c>
      <c r="L65" s="48">
        <f t="shared" si="5"/>
        <v>46370</v>
      </c>
      <c r="M65" s="18" t="s">
        <v>24</v>
      </c>
      <c r="N65" s="49"/>
      <c r="O65" s="18" t="str">
        <f>IFERROR(INDEX('Friday Calendar'!$M:$M,MATCH(Y65,'Friday Calendar'!$A:$A,0)),"Not a Friday week – check")</f>
        <v>YATRA DAY</v>
      </c>
      <c r="P65" s="18" t="s">
        <v>24</v>
      </c>
      <c r="Q65" s="18" t="s">
        <v>24</v>
      </c>
      <c r="R65" s="18" t="s">
        <v>24</v>
      </c>
      <c r="S65" s="18" t="s">
        <v>24</v>
      </c>
      <c r="T65" s="6" t="s">
        <v>24</v>
      </c>
      <c r="U65" s="6" t="s">
        <v>24</v>
      </c>
      <c r="V65" s="19" t="s">
        <v>24</v>
      </c>
      <c r="W65" s="19" t="s">
        <v>156</v>
      </c>
      <c r="X65" s="18" t="s">
        <v>160</v>
      </c>
      <c r="Y65" s="50">
        <f t="shared" si="6"/>
        <v>46374</v>
      </c>
      <c r="Z65" s="18" t="str">
        <f t="shared" si="7"/>
        <v>Team 4 – South-West &amp; Bundelkhand|46374</v>
      </c>
    </row>
    <row r="66" spans="1:26" ht="28" x14ac:dyDescent="0.2">
      <c r="A66" s="19">
        <v>62</v>
      </c>
      <c r="B66" s="18" t="s">
        <v>161</v>
      </c>
      <c r="C66" s="18" t="s">
        <v>19</v>
      </c>
      <c r="D66" s="18" t="s">
        <v>20</v>
      </c>
      <c r="E66" s="19" t="s">
        <v>162</v>
      </c>
      <c r="F66" s="18" t="s">
        <v>263</v>
      </c>
      <c r="G66" s="17" t="s">
        <v>264</v>
      </c>
      <c r="H66" s="18" t="s">
        <v>264</v>
      </c>
      <c r="I66" s="19">
        <v>1</v>
      </c>
      <c r="J66" s="48">
        <v>46395</v>
      </c>
      <c r="K66" s="19" t="str">
        <f t="shared" si="4"/>
        <v>Friday</v>
      </c>
      <c r="L66" s="48">
        <f t="shared" si="5"/>
        <v>46391</v>
      </c>
      <c r="M66" s="18" t="s">
        <v>132</v>
      </c>
      <c r="N66" s="49"/>
      <c r="O66" s="18" t="str">
        <f>IFERROR(INDEX('Friday Calendar'!$M:$M,MATCH(Y66,'Friday Calendar'!$A:$A,0)),"Not a Friday week – check")</f>
        <v>YATRA DAY</v>
      </c>
      <c r="P66" s="18" t="s">
        <v>143</v>
      </c>
      <c r="Q66" s="18" t="s">
        <v>134</v>
      </c>
      <c r="R66" s="18" t="s">
        <v>135</v>
      </c>
      <c r="S66" s="18" t="s">
        <v>136</v>
      </c>
      <c r="T66" s="6"/>
      <c r="U66" s="6"/>
      <c r="V66" s="19" t="s">
        <v>137</v>
      </c>
      <c r="W66" s="19" t="s">
        <v>138</v>
      </c>
      <c r="X66" s="18"/>
      <c r="Y66" s="50">
        <f t="shared" si="6"/>
        <v>46395</v>
      </c>
      <c r="Z66" s="18" t="str">
        <f t="shared" si="7"/>
        <v>Team 4 – South-West &amp; Bundelkhand|46395</v>
      </c>
    </row>
    <row r="67" spans="1:26" ht="28" x14ac:dyDescent="0.2">
      <c r="A67" s="19">
        <v>63</v>
      </c>
      <c r="B67" s="18" t="s">
        <v>161</v>
      </c>
      <c r="C67" s="18" t="s">
        <v>19</v>
      </c>
      <c r="D67" s="18" t="s">
        <v>20</v>
      </c>
      <c r="E67" s="19" t="s">
        <v>165</v>
      </c>
      <c r="F67" s="18" t="s">
        <v>263</v>
      </c>
      <c r="G67" s="17" t="s">
        <v>265</v>
      </c>
      <c r="H67" s="18" t="s">
        <v>265</v>
      </c>
      <c r="I67" s="19">
        <v>1</v>
      </c>
      <c r="J67" s="48">
        <v>46402</v>
      </c>
      <c r="K67" s="19" t="str">
        <f t="shared" si="4"/>
        <v>Friday</v>
      </c>
      <c r="L67" s="48">
        <f t="shared" si="5"/>
        <v>46398</v>
      </c>
      <c r="M67" s="18" t="s">
        <v>264</v>
      </c>
      <c r="N67" s="49">
        <v>55</v>
      </c>
      <c r="O67" s="18" t="str">
        <f>IFERROR(INDEX('Friday Calendar'!$M:$M,MATCH(Y67,'Friday Calendar'!$A:$A,0)),"Not a Friday week – check")</f>
        <v>YATRA DAY – CAUTION</v>
      </c>
      <c r="P67" s="18" t="s">
        <v>143</v>
      </c>
      <c r="Q67" s="18" t="s">
        <v>134</v>
      </c>
      <c r="R67" s="18" t="s">
        <v>135</v>
      </c>
      <c r="S67" s="18" t="s">
        <v>136</v>
      </c>
      <c r="T67" s="6"/>
      <c r="U67" s="6"/>
      <c r="V67" s="19" t="s">
        <v>137</v>
      </c>
      <c r="W67" s="19" t="s">
        <v>138</v>
      </c>
      <c r="X67" s="18" t="s">
        <v>266</v>
      </c>
      <c r="Y67" s="50">
        <f t="shared" si="6"/>
        <v>46402</v>
      </c>
      <c r="Z67" s="18" t="str">
        <f t="shared" si="7"/>
        <v>Team 4 – South-West &amp; Bundelkhand|46402</v>
      </c>
    </row>
    <row r="68" spans="1:26" ht="28" x14ac:dyDescent="0.2">
      <c r="A68" s="19">
        <v>64</v>
      </c>
      <c r="B68" s="18" t="s">
        <v>161</v>
      </c>
      <c r="C68" s="18" t="s">
        <v>19</v>
      </c>
      <c r="D68" s="18" t="s">
        <v>20</v>
      </c>
      <c r="E68" s="19" t="s">
        <v>168</v>
      </c>
      <c r="F68" s="18" t="s">
        <v>263</v>
      </c>
      <c r="G68" s="17" t="s">
        <v>263</v>
      </c>
      <c r="H68" s="18" t="s">
        <v>263</v>
      </c>
      <c r="I68" s="19">
        <v>1</v>
      </c>
      <c r="J68" s="48">
        <v>46409</v>
      </c>
      <c r="K68" s="19" t="str">
        <f t="shared" si="4"/>
        <v>Friday</v>
      </c>
      <c r="L68" s="48">
        <f t="shared" si="5"/>
        <v>46405</v>
      </c>
      <c r="M68" s="18" t="s">
        <v>265</v>
      </c>
      <c r="N68" s="49">
        <v>45</v>
      </c>
      <c r="O68" s="18" t="str">
        <f>IFERROR(INDEX('Friday Calendar'!$M:$M,MATCH(Y68,'Friday Calendar'!$A:$A,0)),"Not a Friday week – check")</f>
        <v>YATRA DAY</v>
      </c>
      <c r="P68" s="18" t="s">
        <v>267</v>
      </c>
      <c r="Q68" s="18" t="s">
        <v>134</v>
      </c>
      <c r="R68" s="18" t="s">
        <v>135</v>
      </c>
      <c r="S68" s="18" t="s">
        <v>136</v>
      </c>
      <c r="T68" s="6"/>
      <c r="U68" s="6"/>
      <c r="V68" s="19" t="s">
        <v>137</v>
      </c>
      <c r="W68" s="19" t="s">
        <v>138</v>
      </c>
      <c r="X68" s="18"/>
      <c r="Y68" s="50">
        <f t="shared" si="6"/>
        <v>46409</v>
      </c>
      <c r="Z68" s="18" t="str">
        <f t="shared" si="7"/>
        <v>Team 4 – South-West &amp; Bundelkhand|46409</v>
      </c>
    </row>
    <row r="69" spans="1:26" ht="28" x14ac:dyDescent="0.2">
      <c r="A69" s="19">
        <v>65</v>
      </c>
      <c r="B69" s="18" t="s">
        <v>161</v>
      </c>
      <c r="C69" s="18" t="s">
        <v>19</v>
      </c>
      <c r="D69" s="18" t="s">
        <v>20</v>
      </c>
      <c r="E69" s="19" t="s">
        <v>171</v>
      </c>
      <c r="F69" s="18" t="s">
        <v>263</v>
      </c>
      <c r="G69" s="17" t="s">
        <v>268</v>
      </c>
      <c r="H69" s="18" t="s">
        <v>268</v>
      </c>
      <c r="I69" s="19">
        <v>1</v>
      </c>
      <c r="J69" s="48">
        <v>46416</v>
      </c>
      <c r="K69" s="19" t="str">
        <f t="shared" ref="K69:K77" si="8">TEXT(J69,"dddd")</f>
        <v>Friday</v>
      </c>
      <c r="L69" s="48">
        <f t="shared" ref="L69:L77" si="9">J69-4</f>
        <v>46412</v>
      </c>
      <c r="M69" s="18" t="s">
        <v>263</v>
      </c>
      <c r="N69" s="49">
        <v>60</v>
      </c>
      <c r="O69" s="18" t="str">
        <f>IFERROR(INDEX('Friday Calendar'!$M:$M,MATCH(Y69,'Friday Calendar'!$A:$A,0)),"Not a Friday week – check")</f>
        <v>YATRA DAY</v>
      </c>
      <c r="P69" s="18" t="s">
        <v>269</v>
      </c>
      <c r="Q69" s="18" t="s">
        <v>134</v>
      </c>
      <c r="R69" s="18" t="s">
        <v>135</v>
      </c>
      <c r="S69" s="18" t="s">
        <v>136</v>
      </c>
      <c r="T69" s="6"/>
      <c r="U69" s="6"/>
      <c r="V69" s="19" t="s">
        <v>137</v>
      </c>
      <c r="W69" s="19" t="s">
        <v>138</v>
      </c>
      <c r="X69" s="18"/>
      <c r="Y69" s="50">
        <f t="shared" ref="Y69:Y77" si="10">J69-IF(WEEKDAY(J69,2)=6,1,0)</f>
        <v>46416</v>
      </c>
      <c r="Z69" s="18" t="str">
        <f t="shared" ref="Z69:Z77" si="11">C69&amp;"|"&amp;Y69</f>
        <v>Team 4 – South-West &amp; Bundelkhand|46416</v>
      </c>
    </row>
    <row r="70" spans="1:26" ht="28" x14ac:dyDescent="0.2">
      <c r="A70" s="19">
        <v>66</v>
      </c>
      <c r="B70" s="18" t="s">
        <v>174</v>
      </c>
      <c r="C70" s="18" t="s">
        <v>19</v>
      </c>
      <c r="D70" s="18" t="s">
        <v>20</v>
      </c>
      <c r="E70" s="19" t="s">
        <v>175</v>
      </c>
      <c r="F70" s="18" t="s">
        <v>270</v>
      </c>
      <c r="G70" s="17" t="s">
        <v>270</v>
      </c>
      <c r="H70" s="18" t="s">
        <v>270</v>
      </c>
      <c r="I70" s="19">
        <v>1</v>
      </c>
      <c r="J70" s="48">
        <v>46423</v>
      </c>
      <c r="K70" s="19" t="str">
        <f t="shared" si="8"/>
        <v>Friday</v>
      </c>
      <c r="L70" s="48">
        <f t="shared" si="9"/>
        <v>46419</v>
      </c>
      <c r="M70" s="18" t="s">
        <v>132</v>
      </c>
      <c r="N70" s="49"/>
      <c r="O70" s="18" t="str">
        <f>IFERROR(INDEX('Friday Calendar'!$M:$M,MATCH(Y70,'Friday Calendar'!$A:$A,0)),"Not a Friday week – check")</f>
        <v>YATRA DAY</v>
      </c>
      <c r="P70" s="18" t="s">
        <v>143</v>
      </c>
      <c r="Q70" s="18" t="s">
        <v>134</v>
      </c>
      <c r="R70" s="18" t="s">
        <v>135</v>
      </c>
      <c r="S70" s="18" t="s">
        <v>136</v>
      </c>
      <c r="T70" s="6"/>
      <c r="U70" s="6"/>
      <c r="V70" s="19" t="s">
        <v>137</v>
      </c>
      <c r="W70" s="19" t="s">
        <v>138</v>
      </c>
      <c r="X70" s="18"/>
      <c r="Y70" s="50">
        <f t="shared" si="10"/>
        <v>46423</v>
      </c>
      <c r="Z70" s="18" t="str">
        <f t="shared" si="11"/>
        <v>Team 4 – South-West &amp; Bundelkhand|46423</v>
      </c>
    </row>
    <row r="71" spans="1:26" ht="28" x14ac:dyDescent="0.2">
      <c r="A71" s="19">
        <v>67</v>
      </c>
      <c r="B71" s="18" t="s">
        <v>174</v>
      </c>
      <c r="C71" s="18" t="s">
        <v>19</v>
      </c>
      <c r="D71" s="18" t="s">
        <v>20</v>
      </c>
      <c r="E71" s="19" t="s">
        <v>177</v>
      </c>
      <c r="F71" s="18" t="s">
        <v>270</v>
      </c>
      <c r="G71" s="17" t="s">
        <v>271</v>
      </c>
      <c r="H71" s="18" t="s">
        <v>272</v>
      </c>
      <c r="I71" s="19">
        <v>3</v>
      </c>
      <c r="J71" s="48">
        <v>46430</v>
      </c>
      <c r="K71" s="19" t="str">
        <f t="shared" si="8"/>
        <v>Friday</v>
      </c>
      <c r="L71" s="48">
        <f t="shared" si="9"/>
        <v>46426</v>
      </c>
      <c r="M71" s="18" t="s">
        <v>270</v>
      </c>
      <c r="N71" s="49">
        <v>40</v>
      </c>
      <c r="O71" s="18" t="str">
        <f>IFERROR(INDEX('Friday Calendar'!$M:$M,MATCH(Y71,'Friday Calendar'!$A:$A,0)),"Not a Friday week – check")</f>
        <v>YATRA DAY – CAUTION</v>
      </c>
      <c r="P71" s="18" t="s">
        <v>143</v>
      </c>
      <c r="Q71" s="18" t="s">
        <v>134</v>
      </c>
      <c r="R71" s="18" t="s">
        <v>135</v>
      </c>
      <c r="S71" s="18" t="s">
        <v>136</v>
      </c>
      <c r="T71" s="6"/>
      <c r="U71" s="6"/>
      <c r="V71" s="19" t="s">
        <v>193</v>
      </c>
      <c r="W71" s="19" t="s">
        <v>138</v>
      </c>
      <c r="X71" s="18" t="s">
        <v>273</v>
      </c>
      <c r="Y71" s="50">
        <f t="shared" si="10"/>
        <v>46430</v>
      </c>
      <c r="Z71" s="18" t="str">
        <f t="shared" si="11"/>
        <v>Team 4 – South-West &amp; Bundelkhand|46430</v>
      </c>
    </row>
    <row r="72" spans="1:26" ht="28" x14ac:dyDescent="0.2">
      <c r="A72" s="19">
        <v>68</v>
      </c>
      <c r="B72" s="18" t="s">
        <v>174</v>
      </c>
      <c r="C72" s="18" t="s">
        <v>19</v>
      </c>
      <c r="D72" s="18" t="s">
        <v>20</v>
      </c>
      <c r="E72" s="19" t="s">
        <v>180</v>
      </c>
      <c r="F72" s="18" t="s">
        <v>172</v>
      </c>
      <c r="G72" s="17" t="s">
        <v>274</v>
      </c>
      <c r="H72" s="18" t="s">
        <v>274</v>
      </c>
      <c r="I72" s="19">
        <v>1</v>
      </c>
      <c r="J72" s="48">
        <v>46437</v>
      </c>
      <c r="K72" s="19" t="str">
        <f t="shared" si="8"/>
        <v>Friday</v>
      </c>
      <c r="L72" s="48">
        <f t="shared" si="9"/>
        <v>46433</v>
      </c>
      <c r="M72" s="18" t="s">
        <v>275</v>
      </c>
      <c r="N72" s="49">
        <v>110</v>
      </c>
      <c r="O72" s="18" t="str">
        <f>IFERROR(INDEX('Friday Calendar'!$M:$M,MATCH(Y72,'Friday Calendar'!$A:$A,0)),"Not a Friday week – check")</f>
        <v>YATRA DAY</v>
      </c>
      <c r="P72" s="18" t="s">
        <v>143</v>
      </c>
      <c r="Q72" s="18" t="s">
        <v>134</v>
      </c>
      <c r="R72" s="18" t="s">
        <v>135</v>
      </c>
      <c r="S72" s="18" t="s">
        <v>136</v>
      </c>
      <c r="T72" s="6"/>
      <c r="U72" s="6"/>
      <c r="V72" s="19" t="s">
        <v>137</v>
      </c>
      <c r="W72" s="19" t="s">
        <v>138</v>
      </c>
      <c r="X72" s="18"/>
      <c r="Y72" s="50">
        <f t="shared" si="10"/>
        <v>46437</v>
      </c>
      <c r="Z72" s="18" t="str">
        <f t="shared" si="11"/>
        <v>Team 4 – South-West &amp; Bundelkhand|46437</v>
      </c>
    </row>
    <row r="73" spans="1:26" ht="28" x14ac:dyDescent="0.2">
      <c r="A73" s="19">
        <v>69</v>
      </c>
      <c r="B73" s="18" t="s">
        <v>156</v>
      </c>
      <c r="C73" s="18" t="s">
        <v>19</v>
      </c>
      <c r="D73" s="18" t="s">
        <v>20</v>
      </c>
      <c r="E73" s="19" t="s">
        <v>195</v>
      </c>
      <c r="F73" s="18" t="s">
        <v>24</v>
      </c>
      <c r="G73" s="17" t="s">
        <v>158</v>
      </c>
      <c r="H73" s="18" t="s">
        <v>159</v>
      </c>
      <c r="I73" s="19">
        <v>0</v>
      </c>
      <c r="J73" s="48">
        <v>46444</v>
      </c>
      <c r="K73" s="19" t="str">
        <f t="shared" si="8"/>
        <v>Friday</v>
      </c>
      <c r="L73" s="48">
        <f t="shared" si="9"/>
        <v>46440</v>
      </c>
      <c r="M73" s="18" t="s">
        <v>24</v>
      </c>
      <c r="N73" s="49"/>
      <c r="O73" s="18" t="str">
        <f>IFERROR(INDEX('Friday Calendar'!$M:$M,MATCH(Y73,'Friday Calendar'!$A:$A,0)),"Not a Friday week – check")</f>
        <v>YATRA DAY</v>
      </c>
      <c r="P73" s="18" t="s">
        <v>24</v>
      </c>
      <c r="Q73" s="18" t="s">
        <v>24</v>
      </c>
      <c r="R73" s="18" t="s">
        <v>24</v>
      </c>
      <c r="S73" s="18" t="s">
        <v>24</v>
      </c>
      <c r="T73" s="6" t="s">
        <v>24</v>
      </c>
      <c r="U73" s="6" t="s">
        <v>24</v>
      </c>
      <c r="V73" s="19" t="s">
        <v>24</v>
      </c>
      <c r="W73" s="19" t="s">
        <v>156</v>
      </c>
      <c r="X73" s="18" t="s">
        <v>156</v>
      </c>
      <c r="Y73" s="50">
        <f t="shared" si="10"/>
        <v>46444</v>
      </c>
      <c r="Z73" s="18" t="str">
        <f t="shared" si="11"/>
        <v>Team 4 – South-West &amp; Bundelkhand|46444</v>
      </c>
    </row>
    <row r="74" spans="1:26" ht="28" x14ac:dyDescent="0.2">
      <c r="A74" s="19">
        <v>70</v>
      </c>
      <c r="B74" s="18" t="s">
        <v>184</v>
      </c>
      <c r="C74" s="18" t="s">
        <v>19</v>
      </c>
      <c r="D74" s="18" t="s">
        <v>20</v>
      </c>
      <c r="E74" s="19" t="s">
        <v>185</v>
      </c>
      <c r="F74" s="18" t="s">
        <v>276</v>
      </c>
      <c r="G74" s="17" t="s">
        <v>276</v>
      </c>
      <c r="H74" s="18" t="s">
        <v>276</v>
      </c>
      <c r="I74" s="19">
        <v>1</v>
      </c>
      <c r="J74" s="48">
        <v>46451</v>
      </c>
      <c r="K74" s="19" t="str">
        <f t="shared" si="8"/>
        <v>Friday</v>
      </c>
      <c r="L74" s="48">
        <f t="shared" si="9"/>
        <v>46447</v>
      </c>
      <c r="M74" s="18" t="s">
        <v>132</v>
      </c>
      <c r="N74" s="49"/>
      <c r="O74" s="18" t="str">
        <f>IFERROR(INDEX('Friday Calendar'!$M:$M,MATCH(Y74,'Friday Calendar'!$A:$A,0)),"Not a Friday week – check")</f>
        <v>YATRA DAY</v>
      </c>
      <c r="P74" s="18" t="s">
        <v>277</v>
      </c>
      <c r="Q74" s="18" t="s">
        <v>134</v>
      </c>
      <c r="R74" s="18" t="s">
        <v>135</v>
      </c>
      <c r="S74" s="18" t="s">
        <v>136</v>
      </c>
      <c r="T74" s="6"/>
      <c r="U74" s="6"/>
      <c r="V74" s="19" t="s">
        <v>137</v>
      </c>
      <c r="W74" s="19" t="s">
        <v>138</v>
      </c>
      <c r="X74" s="18"/>
      <c r="Y74" s="50">
        <f t="shared" si="10"/>
        <v>46451</v>
      </c>
      <c r="Z74" s="18" t="str">
        <f t="shared" si="11"/>
        <v>Team 4 – South-West &amp; Bundelkhand|46451</v>
      </c>
    </row>
    <row r="75" spans="1:26" ht="28" x14ac:dyDescent="0.2">
      <c r="A75" s="19">
        <v>71</v>
      </c>
      <c r="B75" s="18" t="s">
        <v>184</v>
      </c>
      <c r="C75" s="18" t="s">
        <v>19</v>
      </c>
      <c r="D75" s="18" t="s">
        <v>20</v>
      </c>
      <c r="E75" s="19" t="s">
        <v>187</v>
      </c>
      <c r="F75" s="18" t="s">
        <v>276</v>
      </c>
      <c r="G75" s="17" t="s">
        <v>278</v>
      </c>
      <c r="H75" s="18" t="s">
        <v>279</v>
      </c>
      <c r="I75" s="19">
        <v>2</v>
      </c>
      <c r="J75" s="48">
        <v>46458</v>
      </c>
      <c r="K75" s="19" t="str">
        <f t="shared" si="8"/>
        <v>Friday</v>
      </c>
      <c r="L75" s="48">
        <f t="shared" si="9"/>
        <v>46454</v>
      </c>
      <c r="M75" s="18" t="s">
        <v>276</v>
      </c>
      <c r="N75" s="49">
        <v>120</v>
      </c>
      <c r="O75" s="18" t="str">
        <f>IFERROR(INDEX('Friday Calendar'!$M:$M,MATCH(Y75,'Friday Calendar'!$A:$A,0)),"Not a Friday week – check")</f>
        <v>YATRA DAY</v>
      </c>
      <c r="P75" s="18" t="s">
        <v>143</v>
      </c>
      <c r="Q75" s="18" t="s">
        <v>134</v>
      </c>
      <c r="R75" s="18" t="s">
        <v>135</v>
      </c>
      <c r="S75" s="18" t="s">
        <v>136</v>
      </c>
      <c r="T75" s="6"/>
      <c r="U75" s="6"/>
      <c r="V75" s="19" t="s">
        <v>193</v>
      </c>
      <c r="W75" s="19" t="s">
        <v>138</v>
      </c>
      <c r="X75" s="18" t="s">
        <v>280</v>
      </c>
      <c r="Y75" s="50">
        <f t="shared" si="10"/>
        <v>46458</v>
      </c>
      <c r="Z75" s="18" t="str">
        <f t="shared" si="11"/>
        <v>Team 4 – South-West &amp; Bundelkhand|46458</v>
      </c>
    </row>
    <row r="76" spans="1:26" ht="28" x14ac:dyDescent="0.2">
      <c r="A76" s="19">
        <v>72</v>
      </c>
      <c r="B76" s="18" t="s">
        <v>184</v>
      </c>
      <c r="C76" s="18" t="s">
        <v>19</v>
      </c>
      <c r="D76" s="18" t="s">
        <v>20</v>
      </c>
      <c r="E76" s="19" t="s">
        <v>190</v>
      </c>
      <c r="F76" s="18" t="s">
        <v>281</v>
      </c>
      <c r="G76" s="17" t="s">
        <v>282</v>
      </c>
      <c r="H76" s="18" t="s">
        <v>283</v>
      </c>
      <c r="I76" s="19">
        <v>4</v>
      </c>
      <c r="J76" s="48">
        <v>46465</v>
      </c>
      <c r="K76" s="19" t="str">
        <f t="shared" si="8"/>
        <v>Friday</v>
      </c>
      <c r="L76" s="48">
        <f t="shared" si="9"/>
        <v>46461</v>
      </c>
      <c r="M76" s="18" t="s">
        <v>284</v>
      </c>
      <c r="N76" s="49">
        <v>150</v>
      </c>
      <c r="O76" s="18" t="str">
        <f>IFERROR(INDEX('Friday Calendar'!$M:$M,MATCH(Y76,'Friday Calendar'!$A:$A,0)),"Not a Friday week – check")</f>
        <v>YATRA DAY</v>
      </c>
      <c r="P76" s="18" t="s">
        <v>143</v>
      </c>
      <c r="Q76" s="18" t="s">
        <v>134</v>
      </c>
      <c r="R76" s="18" t="s">
        <v>135</v>
      </c>
      <c r="S76" s="18" t="s">
        <v>136</v>
      </c>
      <c r="T76" s="6"/>
      <c r="U76" s="6"/>
      <c r="V76" s="19" t="s">
        <v>193</v>
      </c>
      <c r="W76" s="19" t="s">
        <v>138</v>
      </c>
      <c r="X76" s="18" t="s">
        <v>285</v>
      </c>
      <c r="Y76" s="50">
        <f t="shared" si="10"/>
        <v>46465</v>
      </c>
      <c r="Z76" s="18" t="str">
        <f t="shared" si="11"/>
        <v>Team 4 – South-West &amp; Bundelkhand|46465</v>
      </c>
    </row>
    <row r="77" spans="1:26" ht="28" x14ac:dyDescent="0.2">
      <c r="A77" s="19">
        <v>73</v>
      </c>
      <c r="B77" s="18" t="s">
        <v>156</v>
      </c>
      <c r="C77" s="18" t="s">
        <v>19</v>
      </c>
      <c r="D77" s="18" t="s">
        <v>20</v>
      </c>
      <c r="E77" s="19" t="s">
        <v>253</v>
      </c>
      <c r="F77" s="18" t="s">
        <v>24</v>
      </c>
      <c r="G77" s="17" t="s">
        <v>158</v>
      </c>
      <c r="H77" s="18" t="s">
        <v>159</v>
      </c>
      <c r="I77" s="19">
        <v>0</v>
      </c>
      <c r="J77" s="48">
        <v>46473</v>
      </c>
      <c r="K77" s="19" t="str">
        <f t="shared" si="8"/>
        <v>Saturday</v>
      </c>
      <c r="L77" s="48">
        <f t="shared" si="9"/>
        <v>46469</v>
      </c>
      <c r="M77" s="18" t="s">
        <v>24</v>
      </c>
      <c r="N77" s="49"/>
      <c r="O77" s="18" t="str">
        <f>IFERROR(INDEX('Friday Calendar'!$M:$M,MATCH(Y77,'Friday Calendar'!$A:$A,0)),"Not a Friday week – check")</f>
        <v>SATURDAY (Fri holiday)</v>
      </c>
      <c r="P77" s="18" t="s">
        <v>24</v>
      </c>
      <c r="Q77" s="18" t="s">
        <v>24</v>
      </c>
      <c r="R77" s="18" t="s">
        <v>24</v>
      </c>
      <c r="S77" s="18" t="s">
        <v>24</v>
      </c>
      <c r="T77" s="6" t="s">
        <v>24</v>
      </c>
      <c r="U77" s="6" t="s">
        <v>24</v>
      </c>
      <c r="V77" s="19" t="s">
        <v>24</v>
      </c>
      <c r="W77" s="19" t="s">
        <v>156</v>
      </c>
      <c r="X77" s="18" t="s">
        <v>196</v>
      </c>
      <c r="Y77" s="50">
        <f t="shared" si="10"/>
        <v>46472</v>
      </c>
      <c r="Z77" s="18" t="str">
        <f t="shared" si="11"/>
        <v>Team 4 – South-West &amp; Bundelkhand|46472</v>
      </c>
    </row>
    <row r="79" spans="1:26" x14ac:dyDescent="0.2">
      <c r="G79" s="51" t="s">
        <v>25</v>
      </c>
      <c r="H79" s="51" t="s">
        <v>286</v>
      </c>
      <c r="I79" s="51">
        <f>SUM(I5:I77)</f>
        <v>75</v>
      </c>
      <c r="J79" s="51">
        <f>COUNTA(G5:G77)</f>
        <v>73</v>
      </c>
    </row>
  </sheetData>
  <autoFilter ref="A4:Z77" xr:uid="{00000000-0001-0000-0200-000000000000}"/>
  <conditionalFormatting sqref="O5:O77">
    <cfRule type="expression" dxfId="7" priority="2">
      <formula>LEFT(O5,4)="SKIP"</formula>
    </cfRule>
    <cfRule type="expression" dxfId="6" priority="3">
      <formula>ISNUMBER(SEARCH("CAUTION",O5))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9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C1" sqref="C1"/>
    </sheetView>
  </sheetViews>
  <sheetFormatPr baseColWidth="10" defaultColWidth="8.6640625" defaultRowHeight="15" x14ac:dyDescent="0.2"/>
  <cols>
    <col min="1" max="2" width="17" customWidth="1"/>
    <col min="3" max="3" width="24" customWidth="1"/>
    <col min="4" max="4" width="22" customWidth="1"/>
    <col min="5" max="5" width="20" customWidth="1"/>
    <col min="6" max="6" width="22" customWidth="1"/>
    <col min="7" max="7" width="9" customWidth="1"/>
    <col min="8" max="9" width="8" customWidth="1"/>
    <col min="10" max="10" width="9" customWidth="1"/>
    <col min="11" max="11" width="24" customWidth="1"/>
    <col min="12" max="12" width="28" customWidth="1"/>
    <col min="13" max="13" width="30" customWidth="1"/>
    <col min="14" max="14" width="17" customWidth="1"/>
    <col min="15" max="16" width="10" customWidth="1"/>
  </cols>
  <sheetData>
    <row r="1" spans="1:16" ht="18" x14ac:dyDescent="0.2">
      <c r="A1" s="1" t="s">
        <v>287</v>
      </c>
    </row>
    <row r="2" spans="1:16" x14ac:dyDescent="0.2">
      <c r="A2" s="2" t="s">
        <v>288</v>
      </c>
    </row>
    <row r="4" spans="1:16" ht="30" customHeight="1" x14ac:dyDescent="0.2">
      <c r="A4" s="3" t="s">
        <v>84</v>
      </c>
      <c r="B4" s="3" t="s">
        <v>289</v>
      </c>
      <c r="C4" s="3" t="s">
        <v>290</v>
      </c>
      <c r="D4" s="3" t="s">
        <v>291</v>
      </c>
      <c r="E4" s="3" t="s">
        <v>292</v>
      </c>
      <c r="F4" s="3" t="s">
        <v>293</v>
      </c>
      <c r="G4" s="3" t="s">
        <v>294</v>
      </c>
      <c r="H4" s="3" t="s">
        <v>295</v>
      </c>
      <c r="I4" s="3" t="s">
        <v>296</v>
      </c>
      <c r="J4" s="3" t="s">
        <v>297</v>
      </c>
      <c r="K4" s="3" t="s">
        <v>298</v>
      </c>
      <c r="L4" s="3" t="s">
        <v>299</v>
      </c>
      <c r="M4" s="3" t="s">
        <v>300</v>
      </c>
      <c r="N4" s="3" t="s">
        <v>301</v>
      </c>
      <c r="O4" s="3" t="s">
        <v>302</v>
      </c>
      <c r="P4" s="3" t="s">
        <v>303</v>
      </c>
    </row>
    <row r="5" spans="1:16" x14ac:dyDescent="0.2">
      <c r="A5" s="52">
        <v>46318</v>
      </c>
      <c r="B5" s="52">
        <f t="shared" ref="B5:B28" si="0">A5-4</f>
        <v>46314</v>
      </c>
      <c r="C5" s="34" t="str">
        <f>IFERROR(INDEX('UP Holidays'!$C$5:$C$33,MATCH(A5-2,'UP Holidays'!$A$5:$A$33,0)),"")</f>
        <v/>
      </c>
      <c r="D5" s="34" t="str">
        <f>IFERROR(INDEX('UP Holidays'!$C$5:$C$33,MATCH(A5-1,'UP Holidays'!$A$5:$A$33,0)),"")</f>
        <v/>
      </c>
      <c r="E5" s="34" t="str">
        <f>IFERROR(INDEX('UP Holidays'!$C$5:$C$33,MATCH(A5,'UP Holidays'!$A$5:$A$33,0)),"")</f>
        <v/>
      </c>
      <c r="F5" s="34" t="str">
        <f>IFERROR(INDEX('UP Holidays'!$C$5:$C$33,MATCH(A5+1,'UP Holidays'!$A$5:$A$33,0)),"")</f>
        <v/>
      </c>
      <c r="G5" s="33">
        <f>COUNTIFS('UP Holidays'!$A$5:$A$33,A5-2,'UP Holidays'!$E$5:$E$33,"Yes")+COUNTIFS('UP Holidays'!$A$5:$A$33,A5-1,'UP Holidays'!$E$5:$E$33,"Yes")</f>
        <v>0</v>
      </c>
      <c r="H5" s="33">
        <f>COUNTIFS('UP Holidays'!$A$5:$A$33,A5,'UP Holidays'!$E$5:$E$33,"Yes")</f>
        <v>0</v>
      </c>
      <c r="I5" s="33">
        <f>COUNTIFS('UP Holidays'!$A$5:$A$33,A5+1,'UP Holidays'!$E$5:$E$33,"Yes")</f>
        <v>0</v>
      </c>
      <c r="J5" s="33">
        <f>COUNTIFS('UP Holidays'!$A$5:$A$33,A5-2,'UP Holidays'!$E$5:$E$33,"Caution")+COUNTIFS('UP Holidays'!$A$5:$A$33,A5-1,'UP Holidays'!$E$5:$E$33,"Caution")+COUNTIFS('UP Holidays'!$A$5:$A$33,A5,'UP Holidays'!$E$5:$E$33,"Caution")</f>
        <v>0</v>
      </c>
      <c r="K5" s="34" t="str">
        <f t="shared" ref="K5:K28" si="1">IF(G5&gt;0,"SKIP – Wed/Thu holiday",IF(H5&gt;0,IF(I5&gt;0,"SKIP – Fri &amp; Sat holiday","SATURDAY (Fri holiday)"),IF(J5&gt;0,"YATRA DAY – CAUTION","YATRA DAY")))</f>
        <v>YATRA DAY</v>
      </c>
      <c r="L5" s="6"/>
      <c r="M5" s="53" t="str">
        <f t="shared" ref="M5:M28" si="2">IF(L5&lt;&gt;"",L5,K5)</f>
        <v>YATRA DAY</v>
      </c>
      <c r="N5" s="52">
        <f t="shared" ref="N5:N28" si="3">IF(LEFT(M5,4)="SKIP","",IF(LEFT(M5,8)="SATURDAY",A5+1,A5))</f>
        <v>46318</v>
      </c>
      <c r="O5" s="33">
        <f>COUNTIFS('Route Plan'!$Y$5:$Y$77,A5,'Route Plan'!$I$5:$I$77,"&gt;0")</f>
        <v>1</v>
      </c>
      <c r="P5" s="33">
        <f t="shared" ref="P5:P28" si="4">O5</f>
        <v>1</v>
      </c>
    </row>
    <row r="6" spans="1:16" ht="28" x14ac:dyDescent="0.2">
      <c r="A6" s="52">
        <v>46325</v>
      </c>
      <c r="B6" s="52">
        <f t="shared" si="0"/>
        <v>46321</v>
      </c>
      <c r="C6" s="34" t="str">
        <f>IFERROR(INDEX('UP Holidays'!$C$5:$C$33,MATCH(A6-2,'UP Holidays'!$A$5:$A$33,0)),"")</f>
        <v/>
      </c>
      <c r="D6" s="34" t="str">
        <f>IFERROR(INDEX('UP Holidays'!$C$5:$C$33,MATCH(A6-1,'UP Holidays'!$A$5:$A$33,0)),"")</f>
        <v>Karva Chauth</v>
      </c>
      <c r="E6" s="34" t="str">
        <f>IFERROR(INDEX('UP Holidays'!$C$5:$C$33,MATCH(A6,'UP Holidays'!$A$5:$A$33,0)),"")</f>
        <v/>
      </c>
      <c r="F6" s="34" t="str">
        <f>IFERROR(INDEX('UP Holidays'!$C$5:$C$33,MATCH(A6+1,'UP Holidays'!$A$5:$A$33,0)),"")</f>
        <v>Sardar Patel / Acharya Narendra Dev Jayanti</v>
      </c>
      <c r="G6" s="33">
        <f>COUNTIFS('UP Holidays'!$A$5:$A$33,A6-2,'UP Holidays'!$E$5:$E$33,"Yes")+COUNTIFS('UP Holidays'!$A$5:$A$33,A6-1,'UP Holidays'!$E$5:$E$33,"Yes")</f>
        <v>0</v>
      </c>
      <c r="H6" s="33">
        <f>COUNTIFS('UP Holidays'!$A$5:$A$33,A6,'UP Holidays'!$E$5:$E$33,"Yes")</f>
        <v>0</v>
      </c>
      <c r="I6" s="33">
        <f>COUNTIFS('UP Holidays'!$A$5:$A$33,A6+1,'UP Holidays'!$E$5:$E$33,"Yes")</f>
        <v>1</v>
      </c>
      <c r="J6" s="33">
        <f>COUNTIFS('UP Holidays'!$A$5:$A$33,A6-2,'UP Holidays'!$E$5:$E$33,"Caution")+COUNTIFS('UP Holidays'!$A$5:$A$33,A6-1,'UP Holidays'!$E$5:$E$33,"Caution")+COUNTIFS('UP Holidays'!$A$5:$A$33,A6,'UP Holidays'!$E$5:$E$33,"Caution")</f>
        <v>1</v>
      </c>
      <c r="K6" s="34" t="str">
        <f t="shared" si="1"/>
        <v>YATRA DAY – CAUTION</v>
      </c>
      <c r="L6" s="6"/>
      <c r="M6" s="53" t="str">
        <f t="shared" si="2"/>
        <v>YATRA DAY – CAUTION</v>
      </c>
      <c r="N6" s="52">
        <f t="shared" si="3"/>
        <v>46325</v>
      </c>
      <c r="O6" s="33">
        <f>COUNTIFS('Route Plan'!$Y$5:$Y$77,A6,'Route Plan'!$I$5:$I$77,"&gt;0")</f>
        <v>4</v>
      </c>
      <c r="P6" s="33">
        <f t="shared" si="4"/>
        <v>4</v>
      </c>
    </row>
    <row r="7" spans="1:16" ht="28" x14ac:dyDescent="0.2">
      <c r="A7" s="52">
        <v>46332</v>
      </c>
      <c r="B7" s="52">
        <f t="shared" si="0"/>
        <v>46328</v>
      </c>
      <c r="C7" s="34" t="str">
        <f>IFERROR(INDEX('UP Holidays'!$C$5:$C$33,MATCH(A7-2,'UP Holidays'!$A$5:$A$33,0)),"")</f>
        <v/>
      </c>
      <c r="D7" s="34" t="str">
        <f>IFERROR(INDEX('UP Holidays'!$C$5:$C$33,MATCH(A7-1,'UP Holidays'!$A$5:$A$33,0)),"")</f>
        <v/>
      </c>
      <c r="E7" s="34" t="str">
        <f>IFERROR(INDEX('UP Holidays'!$C$5:$C$33,MATCH(A7,'UP Holidays'!$A$5:$A$33,0)),"")</f>
        <v>Dhanteras (Diwali week)</v>
      </c>
      <c r="F7" s="34" t="str">
        <f>IFERROR(INDEX('UP Holidays'!$C$5:$C$33,MATCH(A7+1,'UP Holidays'!$A$5:$A$33,0)),"")</f>
        <v>Choti Diwali / Narak Chaturdashi</v>
      </c>
      <c r="G7" s="33">
        <f>COUNTIFS('UP Holidays'!$A$5:$A$33,A7-2,'UP Holidays'!$E$5:$E$33,"Yes")+COUNTIFS('UP Holidays'!$A$5:$A$33,A7-1,'UP Holidays'!$E$5:$E$33,"Yes")</f>
        <v>0</v>
      </c>
      <c r="H7" s="33">
        <f>COUNTIFS('UP Holidays'!$A$5:$A$33,A7,'UP Holidays'!$E$5:$E$33,"Yes")</f>
        <v>1</v>
      </c>
      <c r="I7" s="33">
        <f>COUNTIFS('UP Holidays'!$A$5:$A$33,A7+1,'UP Holidays'!$E$5:$E$33,"Yes")</f>
        <v>1</v>
      </c>
      <c r="J7" s="33">
        <f>COUNTIFS('UP Holidays'!$A$5:$A$33,A7-2,'UP Holidays'!$E$5:$E$33,"Caution")+COUNTIFS('UP Holidays'!$A$5:$A$33,A7-1,'UP Holidays'!$E$5:$E$33,"Caution")+COUNTIFS('UP Holidays'!$A$5:$A$33,A7,'UP Holidays'!$E$5:$E$33,"Caution")</f>
        <v>0</v>
      </c>
      <c r="K7" s="34" t="str">
        <f t="shared" si="1"/>
        <v>SKIP – Fri &amp; Sat holiday</v>
      </c>
      <c r="L7" s="6"/>
      <c r="M7" s="53" t="str">
        <f t="shared" si="2"/>
        <v>SKIP – Fri &amp; Sat holiday</v>
      </c>
      <c r="N7" s="52" t="str">
        <f t="shared" si="3"/>
        <v/>
      </c>
      <c r="O7" s="33">
        <f>COUNTIFS('Route Plan'!$Y$5:$Y$77,A7,'Route Plan'!$I$5:$I$77,"&gt;0")</f>
        <v>0</v>
      </c>
      <c r="P7" s="33">
        <f t="shared" si="4"/>
        <v>0</v>
      </c>
    </row>
    <row r="8" spans="1:16" ht="28" x14ac:dyDescent="0.2">
      <c r="A8" s="52">
        <v>46339</v>
      </c>
      <c r="B8" s="52">
        <f t="shared" si="0"/>
        <v>46335</v>
      </c>
      <c r="C8" s="34" t="str">
        <f>IFERROR(INDEX('UP Holidays'!$C$5:$C$33,MATCH(A8-2,'UP Holidays'!$A$5:$A$33,0)),"")</f>
        <v>Bhai Dooj / Chitragupta Jayanti</v>
      </c>
      <c r="D8" s="34" t="str">
        <f>IFERROR(INDEX('UP Holidays'!$C$5:$C$33,MATCH(A8-1,'UP Holidays'!$A$5:$A$33,0)),"")</f>
        <v/>
      </c>
      <c r="E8" s="34" t="str">
        <f>IFERROR(INDEX('UP Holidays'!$C$5:$C$33,MATCH(A8,'UP Holidays'!$A$5:$A$33,0)),"")</f>
        <v/>
      </c>
      <c r="F8" s="34" t="str">
        <f>IFERROR(INDEX('UP Holidays'!$C$5:$C$33,MATCH(A8+1,'UP Holidays'!$A$5:$A$33,0)),"")</f>
        <v/>
      </c>
      <c r="G8" s="33">
        <f>COUNTIFS('UP Holidays'!$A$5:$A$33,A8-2,'UP Holidays'!$E$5:$E$33,"Yes")+COUNTIFS('UP Holidays'!$A$5:$A$33,A8-1,'UP Holidays'!$E$5:$E$33,"Yes")</f>
        <v>1</v>
      </c>
      <c r="H8" s="33">
        <f>COUNTIFS('UP Holidays'!$A$5:$A$33,A8,'UP Holidays'!$E$5:$E$33,"Yes")</f>
        <v>0</v>
      </c>
      <c r="I8" s="33">
        <f>COUNTIFS('UP Holidays'!$A$5:$A$33,A8+1,'UP Holidays'!$E$5:$E$33,"Yes")</f>
        <v>0</v>
      </c>
      <c r="J8" s="33">
        <f>COUNTIFS('UP Holidays'!$A$5:$A$33,A8-2,'UP Holidays'!$E$5:$E$33,"Caution")+COUNTIFS('UP Holidays'!$A$5:$A$33,A8-1,'UP Holidays'!$E$5:$E$33,"Caution")+COUNTIFS('UP Holidays'!$A$5:$A$33,A8,'UP Holidays'!$E$5:$E$33,"Caution")</f>
        <v>0</v>
      </c>
      <c r="K8" s="34" t="str">
        <f t="shared" si="1"/>
        <v>SKIP – Wed/Thu holiday</v>
      </c>
      <c r="L8" s="6"/>
      <c r="M8" s="53" t="str">
        <f t="shared" si="2"/>
        <v>SKIP – Wed/Thu holiday</v>
      </c>
      <c r="N8" s="52" t="str">
        <f t="shared" si="3"/>
        <v/>
      </c>
      <c r="O8" s="33">
        <f>COUNTIFS('Route Plan'!$Y$5:$Y$77,A8,'Route Plan'!$I$5:$I$77,"&gt;0")</f>
        <v>0</v>
      </c>
      <c r="P8" s="33">
        <f t="shared" si="4"/>
        <v>0</v>
      </c>
    </row>
    <row r="9" spans="1:16" x14ac:dyDescent="0.2">
      <c r="A9" s="52">
        <v>46346</v>
      </c>
      <c r="B9" s="52">
        <f t="shared" si="0"/>
        <v>46342</v>
      </c>
      <c r="C9" s="34" t="str">
        <f>IFERROR(INDEX('UP Holidays'!$C$5:$C$33,MATCH(A9-2,'UP Holidays'!$A$5:$A$33,0)),"")</f>
        <v/>
      </c>
      <c r="D9" s="34" t="str">
        <f>IFERROR(INDEX('UP Holidays'!$C$5:$C$33,MATCH(A9-1,'UP Holidays'!$A$5:$A$33,0)),"")</f>
        <v/>
      </c>
      <c r="E9" s="34" t="str">
        <f>IFERROR(INDEX('UP Holidays'!$C$5:$C$33,MATCH(A9,'UP Holidays'!$A$5:$A$33,0)),"")</f>
        <v/>
      </c>
      <c r="F9" s="34" t="str">
        <f>IFERROR(INDEX('UP Holidays'!$C$5:$C$33,MATCH(A9+1,'UP Holidays'!$A$5:$A$33,0)),"")</f>
        <v/>
      </c>
      <c r="G9" s="33">
        <f>COUNTIFS('UP Holidays'!$A$5:$A$33,A9-2,'UP Holidays'!$E$5:$E$33,"Yes")+COUNTIFS('UP Holidays'!$A$5:$A$33,A9-1,'UP Holidays'!$E$5:$E$33,"Yes")</f>
        <v>0</v>
      </c>
      <c r="H9" s="33">
        <f>COUNTIFS('UP Holidays'!$A$5:$A$33,A9,'UP Holidays'!$E$5:$E$33,"Yes")</f>
        <v>0</v>
      </c>
      <c r="I9" s="33">
        <f>COUNTIFS('UP Holidays'!$A$5:$A$33,A9+1,'UP Holidays'!$E$5:$E$33,"Yes")</f>
        <v>0</v>
      </c>
      <c r="J9" s="33">
        <f>COUNTIFS('UP Holidays'!$A$5:$A$33,A9-2,'UP Holidays'!$E$5:$E$33,"Caution")+COUNTIFS('UP Holidays'!$A$5:$A$33,A9-1,'UP Holidays'!$E$5:$E$33,"Caution")+COUNTIFS('UP Holidays'!$A$5:$A$33,A9,'UP Holidays'!$E$5:$E$33,"Caution")</f>
        <v>0</v>
      </c>
      <c r="K9" s="34" t="str">
        <f t="shared" si="1"/>
        <v>YATRA DAY</v>
      </c>
      <c r="L9" s="6"/>
      <c r="M9" s="53" t="str">
        <f t="shared" si="2"/>
        <v>YATRA DAY</v>
      </c>
      <c r="N9" s="52">
        <f t="shared" si="3"/>
        <v>46346</v>
      </c>
      <c r="O9" s="33">
        <f>COUNTIFS('Route Plan'!$Y$5:$Y$77,A9,'Route Plan'!$I$5:$I$77,"&gt;0")</f>
        <v>4</v>
      </c>
      <c r="P9" s="33">
        <f t="shared" si="4"/>
        <v>4</v>
      </c>
    </row>
    <row r="10" spans="1:16" x14ac:dyDescent="0.2">
      <c r="A10" s="52">
        <v>46353</v>
      </c>
      <c r="B10" s="52">
        <f t="shared" si="0"/>
        <v>46349</v>
      </c>
      <c r="C10" s="34" t="str">
        <f>IFERROR(INDEX('UP Holidays'!$C$5:$C$33,MATCH(A10-2,'UP Holidays'!$A$5:$A$33,0)),"")</f>
        <v/>
      </c>
      <c r="D10" s="34" t="str">
        <f>IFERROR(INDEX('UP Holidays'!$C$5:$C$33,MATCH(A10-1,'UP Holidays'!$A$5:$A$33,0)),"")</f>
        <v/>
      </c>
      <c r="E10" s="34" t="str">
        <f>IFERROR(INDEX('UP Holidays'!$C$5:$C$33,MATCH(A10,'UP Holidays'!$A$5:$A$33,0)),"")</f>
        <v/>
      </c>
      <c r="F10" s="34" t="str">
        <f>IFERROR(INDEX('UP Holidays'!$C$5:$C$33,MATCH(A10+1,'UP Holidays'!$A$5:$A$33,0)),"")</f>
        <v/>
      </c>
      <c r="G10" s="33">
        <f>COUNTIFS('UP Holidays'!$A$5:$A$33,A10-2,'UP Holidays'!$E$5:$E$33,"Yes")+COUNTIFS('UP Holidays'!$A$5:$A$33,A10-1,'UP Holidays'!$E$5:$E$33,"Yes")</f>
        <v>0</v>
      </c>
      <c r="H10" s="33">
        <f>COUNTIFS('UP Holidays'!$A$5:$A$33,A10,'UP Holidays'!$E$5:$E$33,"Yes")</f>
        <v>0</v>
      </c>
      <c r="I10" s="33">
        <f>COUNTIFS('UP Holidays'!$A$5:$A$33,A10+1,'UP Holidays'!$E$5:$E$33,"Yes")</f>
        <v>0</v>
      </c>
      <c r="J10" s="33">
        <f>COUNTIFS('UP Holidays'!$A$5:$A$33,A10-2,'UP Holidays'!$E$5:$E$33,"Caution")+COUNTIFS('UP Holidays'!$A$5:$A$33,A10-1,'UP Holidays'!$E$5:$E$33,"Caution")+COUNTIFS('UP Holidays'!$A$5:$A$33,A10,'UP Holidays'!$E$5:$E$33,"Caution")</f>
        <v>0</v>
      </c>
      <c r="K10" s="34" t="str">
        <f t="shared" si="1"/>
        <v>YATRA DAY</v>
      </c>
      <c r="L10" s="6"/>
      <c r="M10" s="53" t="str">
        <f t="shared" si="2"/>
        <v>YATRA DAY</v>
      </c>
      <c r="N10" s="52">
        <f t="shared" si="3"/>
        <v>46353</v>
      </c>
      <c r="O10" s="33">
        <f>COUNTIFS('Route Plan'!$Y$5:$Y$77,A10,'Route Plan'!$I$5:$I$77,"&gt;0")</f>
        <v>4</v>
      </c>
      <c r="P10" s="33">
        <f t="shared" si="4"/>
        <v>4</v>
      </c>
    </row>
    <row r="11" spans="1:16" x14ac:dyDescent="0.2">
      <c r="A11" s="52">
        <v>46360</v>
      </c>
      <c r="B11" s="52">
        <f t="shared" si="0"/>
        <v>46356</v>
      </c>
      <c r="C11" s="34" t="str">
        <f>IFERROR(INDEX('UP Holidays'!$C$5:$C$33,MATCH(A11-2,'UP Holidays'!$A$5:$A$33,0)),"")</f>
        <v/>
      </c>
      <c r="D11" s="34" t="str">
        <f>IFERROR(INDEX('UP Holidays'!$C$5:$C$33,MATCH(A11-1,'UP Holidays'!$A$5:$A$33,0)),"")</f>
        <v/>
      </c>
      <c r="E11" s="34" t="str">
        <f>IFERROR(INDEX('UP Holidays'!$C$5:$C$33,MATCH(A11,'UP Holidays'!$A$5:$A$33,0)),"")</f>
        <v/>
      </c>
      <c r="F11" s="34" t="str">
        <f>IFERROR(INDEX('UP Holidays'!$C$5:$C$33,MATCH(A11+1,'UP Holidays'!$A$5:$A$33,0)),"")</f>
        <v/>
      </c>
      <c r="G11" s="33">
        <f>COUNTIFS('UP Holidays'!$A$5:$A$33,A11-2,'UP Holidays'!$E$5:$E$33,"Yes")+COUNTIFS('UP Holidays'!$A$5:$A$33,A11-1,'UP Holidays'!$E$5:$E$33,"Yes")</f>
        <v>0</v>
      </c>
      <c r="H11" s="33">
        <f>COUNTIFS('UP Holidays'!$A$5:$A$33,A11,'UP Holidays'!$E$5:$E$33,"Yes")</f>
        <v>0</v>
      </c>
      <c r="I11" s="33">
        <f>COUNTIFS('UP Holidays'!$A$5:$A$33,A11+1,'UP Holidays'!$E$5:$E$33,"Yes")</f>
        <v>0</v>
      </c>
      <c r="J11" s="33">
        <f>COUNTIFS('UP Holidays'!$A$5:$A$33,A11-2,'UP Holidays'!$E$5:$E$33,"Caution")+COUNTIFS('UP Holidays'!$A$5:$A$33,A11-1,'UP Holidays'!$E$5:$E$33,"Caution")+COUNTIFS('UP Holidays'!$A$5:$A$33,A11,'UP Holidays'!$E$5:$E$33,"Caution")</f>
        <v>0</v>
      </c>
      <c r="K11" s="34" t="str">
        <f t="shared" si="1"/>
        <v>YATRA DAY</v>
      </c>
      <c r="L11" s="6"/>
      <c r="M11" s="53" t="str">
        <f t="shared" si="2"/>
        <v>YATRA DAY</v>
      </c>
      <c r="N11" s="52">
        <f t="shared" si="3"/>
        <v>46360</v>
      </c>
      <c r="O11" s="33">
        <f>COUNTIFS('Route Plan'!$Y$5:$Y$77,A11,'Route Plan'!$I$5:$I$77,"&gt;0")</f>
        <v>4</v>
      </c>
      <c r="P11" s="33">
        <f t="shared" si="4"/>
        <v>4</v>
      </c>
    </row>
    <row r="12" spans="1:16" x14ac:dyDescent="0.2">
      <c r="A12" s="52">
        <v>46367</v>
      </c>
      <c r="B12" s="52">
        <f t="shared" si="0"/>
        <v>46363</v>
      </c>
      <c r="C12" s="34" t="str">
        <f>IFERROR(INDEX('UP Holidays'!$C$5:$C$33,MATCH(A12-2,'UP Holidays'!$A$5:$A$33,0)),"")</f>
        <v/>
      </c>
      <c r="D12" s="34" t="str">
        <f>IFERROR(INDEX('UP Holidays'!$C$5:$C$33,MATCH(A12-1,'UP Holidays'!$A$5:$A$33,0)),"")</f>
        <v/>
      </c>
      <c r="E12" s="34" t="str">
        <f>IFERROR(INDEX('UP Holidays'!$C$5:$C$33,MATCH(A12,'UP Holidays'!$A$5:$A$33,0)),"")</f>
        <v/>
      </c>
      <c r="F12" s="34" t="str">
        <f>IFERROR(INDEX('UP Holidays'!$C$5:$C$33,MATCH(A12+1,'UP Holidays'!$A$5:$A$33,0)),"")</f>
        <v/>
      </c>
      <c r="G12" s="33">
        <f>COUNTIFS('UP Holidays'!$A$5:$A$33,A12-2,'UP Holidays'!$E$5:$E$33,"Yes")+COUNTIFS('UP Holidays'!$A$5:$A$33,A12-1,'UP Holidays'!$E$5:$E$33,"Yes")</f>
        <v>0</v>
      </c>
      <c r="H12" s="33">
        <f>COUNTIFS('UP Holidays'!$A$5:$A$33,A12,'UP Holidays'!$E$5:$E$33,"Yes")</f>
        <v>0</v>
      </c>
      <c r="I12" s="33">
        <f>COUNTIFS('UP Holidays'!$A$5:$A$33,A12+1,'UP Holidays'!$E$5:$E$33,"Yes")</f>
        <v>0</v>
      </c>
      <c r="J12" s="33">
        <f>COUNTIFS('UP Holidays'!$A$5:$A$33,A12-2,'UP Holidays'!$E$5:$E$33,"Caution")+COUNTIFS('UP Holidays'!$A$5:$A$33,A12-1,'UP Holidays'!$E$5:$E$33,"Caution")+COUNTIFS('UP Holidays'!$A$5:$A$33,A12,'UP Holidays'!$E$5:$E$33,"Caution")</f>
        <v>0</v>
      </c>
      <c r="K12" s="34" t="str">
        <f t="shared" si="1"/>
        <v>YATRA DAY</v>
      </c>
      <c r="L12" s="6"/>
      <c r="M12" s="53" t="str">
        <f t="shared" si="2"/>
        <v>YATRA DAY</v>
      </c>
      <c r="N12" s="52">
        <f t="shared" si="3"/>
        <v>46367</v>
      </c>
      <c r="O12" s="33">
        <f>COUNTIFS('Route Plan'!$Y$5:$Y$77,A12,'Route Plan'!$I$5:$I$77,"&gt;0")</f>
        <v>4</v>
      </c>
      <c r="P12" s="33">
        <f t="shared" si="4"/>
        <v>4</v>
      </c>
    </row>
    <row r="13" spans="1:16" x14ac:dyDescent="0.2">
      <c r="A13" s="52">
        <v>46374</v>
      </c>
      <c r="B13" s="52">
        <f t="shared" si="0"/>
        <v>46370</v>
      </c>
      <c r="C13" s="34" t="str">
        <f>IFERROR(INDEX('UP Holidays'!$C$5:$C$33,MATCH(A13-2,'UP Holidays'!$A$5:$A$33,0)),"")</f>
        <v/>
      </c>
      <c r="D13" s="34" t="str">
        <f>IFERROR(INDEX('UP Holidays'!$C$5:$C$33,MATCH(A13-1,'UP Holidays'!$A$5:$A$33,0)),"")</f>
        <v/>
      </c>
      <c r="E13" s="34" t="str">
        <f>IFERROR(INDEX('UP Holidays'!$C$5:$C$33,MATCH(A13,'UP Holidays'!$A$5:$A$33,0)),"")</f>
        <v/>
      </c>
      <c r="F13" s="34" t="str">
        <f>IFERROR(INDEX('UP Holidays'!$C$5:$C$33,MATCH(A13+1,'UP Holidays'!$A$5:$A$33,0)),"")</f>
        <v/>
      </c>
      <c r="G13" s="33">
        <f>COUNTIFS('UP Holidays'!$A$5:$A$33,A13-2,'UP Holidays'!$E$5:$E$33,"Yes")+COUNTIFS('UP Holidays'!$A$5:$A$33,A13-1,'UP Holidays'!$E$5:$E$33,"Yes")</f>
        <v>0</v>
      </c>
      <c r="H13" s="33">
        <f>COUNTIFS('UP Holidays'!$A$5:$A$33,A13,'UP Holidays'!$E$5:$E$33,"Yes")</f>
        <v>0</v>
      </c>
      <c r="I13" s="33">
        <f>COUNTIFS('UP Holidays'!$A$5:$A$33,A13+1,'UP Holidays'!$E$5:$E$33,"Yes")</f>
        <v>0</v>
      </c>
      <c r="J13" s="33">
        <f>COUNTIFS('UP Holidays'!$A$5:$A$33,A13-2,'UP Holidays'!$E$5:$E$33,"Caution")+COUNTIFS('UP Holidays'!$A$5:$A$33,A13-1,'UP Holidays'!$E$5:$E$33,"Caution")+COUNTIFS('UP Holidays'!$A$5:$A$33,A13,'UP Holidays'!$E$5:$E$33,"Caution")</f>
        <v>0</v>
      </c>
      <c r="K13" s="34" t="str">
        <f t="shared" si="1"/>
        <v>YATRA DAY</v>
      </c>
      <c r="L13" s="6"/>
      <c r="M13" s="53" t="str">
        <f t="shared" si="2"/>
        <v>YATRA DAY</v>
      </c>
      <c r="N13" s="52">
        <f t="shared" si="3"/>
        <v>46374</v>
      </c>
      <c r="O13" s="33">
        <f>COUNTIFS('Route Plan'!$Y$5:$Y$77,A13,'Route Plan'!$I$5:$I$77,"&gt;0")</f>
        <v>0</v>
      </c>
      <c r="P13" s="33">
        <f t="shared" si="4"/>
        <v>0</v>
      </c>
    </row>
    <row r="14" spans="1:16" ht="28" x14ac:dyDescent="0.2">
      <c r="A14" s="52">
        <v>46381</v>
      </c>
      <c r="B14" s="52">
        <f t="shared" si="0"/>
        <v>46377</v>
      </c>
      <c r="C14" s="34" t="str">
        <f>IFERROR(INDEX('UP Holidays'!$C$5:$C$33,MATCH(A14-2,'UP Holidays'!$A$5:$A$33,0)),"")</f>
        <v>Chaudhary Charan Singh Jayanti / Hazrat Ali Jayanti</v>
      </c>
      <c r="D14" s="34" t="str">
        <f>IFERROR(INDEX('UP Holidays'!$C$5:$C$33,MATCH(A14-1,'UP Holidays'!$A$5:$A$33,0)),"")</f>
        <v>Christmas Eve</v>
      </c>
      <c r="E14" s="34" t="str">
        <f>IFERROR(INDEX('UP Holidays'!$C$5:$C$33,MATCH(A14,'UP Holidays'!$A$5:$A$33,0)),"")</f>
        <v>Christmas</v>
      </c>
      <c r="F14" s="34" t="str">
        <f>IFERROR(INDEX('UP Holidays'!$C$5:$C$33,MATCH(A14+1,'UP Holidays'!$A$5:$A$33,0)),"")</f>
        <v/>
      </c>
      <c r="G14" s="33">
        <f>COUNTIFS('UP Holidays'!$A$5:$A$33,A14-2,'UP Holidays'!$E$5:$E$33,"Yes")+COUNTIFS('UP Holidays'!$A$5:$A$33,A14-1,'UP Holidays'!$E$5:$E$33,"Yes")</f>
        <v>1</v>
      </c>
      <c r="H14" s="33">
        <f>COUNTIFS('UP Holidays'!$A$5:$A$33,A14,'UP Holidays'!$E$5:$E$33,"Yes")</f>
        <v>1</v>
      </c>
      <c r="I14" s="33">
        <f>COUNTIFS('UP Holidays'!$A$5:$A$33,A14+1,'UP Holidays'!$E$5:$E$33,"Yes")</f>
        <v>0</v>
      </c>
      <c r="J14" s="33">
        <f>COUNTIFS('UP Holidays'!$A$5:$A$33,A14-2,'UP Holidays'!$E$5:$E$33,"Caution")+COUNTIFS('UP Holidays'!$A$5:$A$33,A14-1,'UP Holidays'!$E$5:$E$33,"Caution")+COUNTIFS('UP Holidays'!$A$5:$A$33,A14,'UP Holidays'!$E$5:$E$33,"Caution")</f>
        <v>1</v>
      </c>
      <c r="K14" s="34" t="str">
        <f t="shared" si="1"/>
        <v>SKIP – Wed/Thu holiday</v>
      </c>
      <c r="L14" s="6"/>
      <c r="M14" s="53" t="str">
        <f t="shared" si="2"/>
        <v>SKIP – Wed/Thu holiday</v>
      </c>
      <c r="N14" s="52" t="str">
        <f t="shared" si="3"/>
        <v/>
      </c>
      <c r="O14" s="33">
        <f>COUNTIFS('Route Plan'!$Y$5:$Y$77,A14,'Route Plan'!$I$5:$I$77,"&gt;0")</f>
        <v>0</v>
      </c>
      <c r="P14" s="33">
        <f t="shared" si="4"/>
        <v>0</v>
      </c>
    </row>
    <row r="15" spans="1:16" ht="28" x14ac:dyDescent="0.2">
      <c r="A15" s="52">
        <v>46388</v>
      </c>
      <c r="B15" s="52">
        <f t="shared" si="0"/>
        <v>46384</v>
      </c>
      <c r="C15" s="34" t="str">
        <f>IFERROR(INDEX('UP Holidays'!$C$5:$C$33,MATCH(A15-2,'UP Holidays'!$A$5:$A$33,0)),"")</f>
        <v/>
      </c>
      <c r="D15" s="34" t="str">
        <f>IFERROR(INDEX('UP Holidays'!$C$5:$C$33,MATCH(A15-1,'UP Holidays'!$A$5:$A$33,0)),"")</f>
        <v/>
      </c>
      <c r="E15" s="34" t="str">
        <f>IFERROR(INDEX('UP Holidays'!$C$5:$C$33,MATCH(A15,'UP Holidays'!$A$5:$A$33,0)),"")</f>
        <v>New Year's Day</v>
      </c>
      <c r="F15" s="34" t="str">
        <f>IFERROR(INDEX('UP Holidays'!$C$5:$C$33,MATCH(A15+1,'UP Holidays'!$A$5:$A$33,0)),"")</f>
        <v/>
      </c>
      <c r="G15" s="33">
        <f>COUNTIFS('UP Holidays'!$A$5:$A$33,A15-2,'UP Holidays'!$E$5:$E$33,"Yes")+COUNTIFS('UP Holidays'!$A$5:$A$33,A15-1,'UP Holidays'!$E$5:$E$33,"Yes")</f>
        <v>0</v>
      </c>
      <c r="H15" s="33">
        <f>COUNTIFS('UP Holidays'!$A$5:$A$33,A15,'UP Holidays'!$E$5:$E$33,"Yes")</f>
        <v>0</v>
      </c>
      <c r="I15" s="33">
        <f>COUNTIFS('UP Holidays'!$A$5:$A$33,A15+1,'UP Holidays'!$E$5:$E$33,"Yes")</f>
        <v>0</v>
      </c>
      <c r="J15" s="33">
        <f>COUNTIFS('UP Holidays'!$A$5:$A$33,A15-2,'UP Holidays'!$E$5:$E$33,"Caution")+COUNTIFS('UP Holidays'!$A$5:$A$33,A15-1,'UP Holidays'!$E$5:$E$33,"Caution")+COUNTIFS('UP Holidays'!$A$5:$A$33,A15,'UP Holidays'!$E$5:$E$33,"Caution")</f>
        <v>1</v>
      </c>
      <c r="K15" s="34" t="str">
        <f t="shared" si="1"/>
        <v>YATRA DAY – CAUTION</v>
      </c>
      <c r="L15" s="6" t="s">
        <v>304</v>
      </c>
      <c r="M15" s="53" t="str">
        <f t="shared" si="2"/>
        <v>SKIP – year-end break (19 Dec–3 Jan)</v>
      </c>
      <c r="N15" s="52" t="str">
        <f t="shared" si="3"/>
        <v/>
      </c>
      <c r="O15" s="33">
        <f>COUNTIFS('Route Plan'!$Y$5:$Y$77,A15,'Route Plan'!$I$5:$I$77,"&gt;0")</f>
        <v>0</v>
      </c>
      <c r="P15" s="33">
        <f t="shared" si="4"/>
        <v>0</v>
      </c>
    </row>
    <row r="16" spans="1:16" x14ac:dyDescent="0.2">
      <c r="A16" s="52">
        <v>46395</v>
      </c>
      <c r="B16" s="52">
        <f t="shared" si="0"/>
        <v>46391</v>
      </c>
      <c r="C16" s="34" t="str">
        <f>IFERROR(INDEX('UP Holidays'!$C$5:$C$33,MATCH(A16-2,'UP Holidays'!$A$5:$A$33,0)),"")</f>
        <v/>
      </c>
      <c r="D16" s="34" t="str">
        <f>IFERROR(INDEX('UP Holidays'!$C$5:$C$33,MATCH(A16-1,'UP Holidays'!$A$5:$A$33,0)),"")</f>
        <v/>
      </c>
      <c r="E16" s="34" t="str">
        <f>IFERROR(INDEX('UP Holidays'!$C$5:$C$33,MATCH(A16,'UP Holidays'!$A$5:$A$33,0)),"")</f>
        <v/>
      </c>
      <c r="F16" s="34" t="str">
        <f>IFERROR(INDEX('UP Holidays'!$C$5:$C$33,MATCH(A16+1,'UP Holidays'!$A$5:$A$33,0)),"")</f>
        <v/>
      </c>
      <c r="G16" s="33">
        <f>COUNTIFS('UP Holidays'!$A$5:$A$33,A16-2,'UP Holidays'!$E$5:$E$33,"Yes")+COUNTIFS('UP Holidays'!$A$5:$A$33,A16-1,'UP Holidays'!$E$5:$E$33,"Yes")</f>
        <v>0</v>
      </c>
      <c r="H16" s="33">
        <f>COUNTIFS('UP Holidays'!$A$5:$A$33,A16,'UP Holidays'!$E$5:$E$33,"Yes")</f>
        <v>0</v>
      </c>
      <c r="I16" s="33">
        <f>COUNTIFS('UP Holidays'!$A$5:$A$33,A16+1,'UP Holidays'!$E$5:$E$33,"Yes")</f>
        <v>0</v>
      </c>
      <c r="J16" s="33">
        <f>COUNTIFS('UP Holidays'!$A$5:$A$33,A16-2,'UP Holidays'!$E$5:$E$33,"Caution")+COUNTIFS('UP Holidays'!$A$5:$A$33,A16-1,'UP Holidays'!$E$5:$E$33,"Caution")+COUNTIFS('UP Holidays'!$A$5:$A$33,A16,'UP Holidays'!$E$5:$E$33,"Caution")</f>
        <v>0</v>
      </c>
      <c r="K16" s="34" t="str">
        <f t="shared" si="1"/>
        <v>YATRA DAY</v>
      </c>
      <c r="L16" s="6"/>
      <c r="M16" s="53" t="str">
        <f t="shared" si="2"/>
        <v>YATRA DAY</v>
      </c>
      <c r="N16" s="52">
        <f t="shared" si="3"/>
        <v>46395</v>
      </c>
      <c r="O16" s="33">
        <f>COUNTIFS('Route Plan'!$Y$5:$Y$77,A16,'Route Plan'!$I$5:$I$77,"&gt;0")</f>
        <v>4</v>
      </c>
      <c r="P16" s="33">
        <f t="shared" si="4"/>
        <v>4</v>
      </c>
    </row>
    <row r="17" spans="1:16" x14ac:dyDescent="0.2">
      <c r="A17" s="52">
        <v>46402</v>
      </c>
      <c r="B17" s="52">
        <f t="shared" si="0"/>
        <v>46398</v>
      </c>
      <c r="C17" s="34" t="str">
        <f>IFERROR(INDEX('UP Holidays'!$C$5:$C$33,MATCH(A17-2,'UP Holidays'!$A$5:$A$33,0)),"")</f>
        <v/>
      </c>
      <c r="D17" s="34" t="str">
        <f>IFERROR(INDEX('UP Holidays'!$C$5:$C$33,MATCH(A17-1,'UP Holidays'!$A$5:$A$33,0)),"")</f>
        <v>Makar Sankranti / Khichdi</v>
      </c>
      <c r="E17" s="34" t="str">
        <f>IFERROR(INDEX('UP Holidays'!$C$5:$C$33,MATCH(A17,'UP Holidays'!$A$5:$A$33,0)),"")</f>
        <v/>
      </c>
      <c r="F17" s="34" t="str">
        <f>IFERROR(INDEX('UP Holidays'!$C$5:$C$33,MATCH(A17+1,'UP Holidays'!$A$5:$A$33,0)),"")</f>
        <v/>
      </c>
      <c r="G17" s="33">
        <f>COUNTIFS('UP Holidays'!$A$5:$A$33,A17-2,'UP Holidays'!$E$5:$E$33,"Yes")+COUNTIFS('UP Holidays'!$A$5:$A$33,A17-1,'UP Holidays'!$E$5:$E$33,"Yes")</f>
        <v>0</v>
      </c>
      <c r="H17" s="33">
        <f>COUNTIFS('UP Holidays'!$A$5:$A$33,A17,'UP Holidays'!$E$5:$E$33,"Yes")</f>
        <v>0</v>
      </c>
      <c r="I17" s="33">
        <f>COUNTIFS('UP Holidays'!$A$5:$A$33,A17+1,'UP Holidays'!$E$5:$E$33,"Yes")</f>
        <v>0</v>
      </c>
      <c r="J17" s="33">
        <f>COUNTIFS('UP Holidays'!$A$5:$A$33,A17-2,'UP Holidays'!$E$5:$E$33,"Caution")+COUNTIFS('UP Holidays'!$A$5:$A$33,A17-1,'UP Holidays'!$E$5:$E$33,"Caution")+COUNTIFS('UP Holidays'!$A$5:$A$33,A17,'UP Holidays'!$E$5:$E$33,"Caution")</f>
        <v>1</v>
      </c>
      <c r="K17" s="34" t="str">
        <f t="shared" si="1"/>
        <v>YATRA DAY – CAUTION</v>
      </c>
      <c r="L17" s="6"/>
      <c r="M17" s="53" t="str">
        <f t="shared" si="2"/>
        <v>YATRA DAY – CAUTION</v>
      </c>
      <c r="N17" s="52">
        <f t="shared" si="3"/>
        <v>46402</v>
      </c>
      <c r="O17" s="33">
        <f>COUNTIFS('Route Plan'!$Y$5:$Y$77,A17,'Route Plan'!$I$5:$I$77,"&gt;0")</f>
        <v>4</v>
      </c>
      <c r="P17" s="33">
        <f t="shared" si="4"/>
        <v>4</v>
      </c>
    </row>
    <row r="18" spans="1:16" x14ac:dyDescent="0.2">
      <c r="A18" s="52">
        <v>46409</v>
      </c>
      <c r="B18" s="52">
        <f t="shared" si="0"/>
        <v>46405</v>
      </c>
      <c r="C18" s="34" t="str">
        <f>IFERROR(INDEX('UP Holidays'!$C$5:$C$33,MATCH(A18-2,'UP Holidays'!$A$5:$A$33,0)),"")</f>
        <v/>
      </c>
      <c r="D18" s="34" t="str">
        <f>IFERROR(INDEX('UP Holidays'!$C$5:$C$33,MATCH(A18-1,'UP Holidays'!$A$5:$A$33,0)),"")</f>
        <v/>
      </c>
      <c r="E18" s="34" t="str">
        <f>IFERROR(INDEX('UP Holidays'!$C$5:$C$33,MATCH(A18,'UP Holidays'!$A$5:$A$33,0)),"")</f>
        <v/>
      </c>
      <c r="F18" s="34" t="str">
        <f>IFERROR(INDEX('UP Holidays'!$C$5:$C$33,MATCH(A18+1,'UP Holidays'!$A$5:$A$33,0)),"")</f>
        <v/>
      </c>
      <c r="G18" s="33">
        <f>COUNTIFS('UP Holidays'!$A$5:$A$33,A18-2,'UP Holidays'!$E$5:$E$33,"Yes")+COUNTIFS('UP Holidays'!$A$5:$A$33,A18-1,'UP Holidays'!$E$5:$E$33,"Yes")</f>
        <v>0</v>
      </c>
      <c r="H18" s="33">
        <f>COUNTIFS('UP Holidays'!$A$5:$A$33,A18,'UP Holidays'!$E$5:$E$33,"Yes")</f>
        <v>0</v>
      </c>
      <c r="I18" s="33">
        <f>COUNTIFS('UP Holidays'!$A$5:$A$33,A18+1,'UP Holidays'!$E$5:$E$33,"Yes")</f>
        <v>0</v>
      </c>
      <c r="J18" s="33">
        <f>COUNTIFS('UP Holidays'!$A$5:$A$33,A18-2,'UP Holidays'!$E$5:$E$33,"Caution")+COUNTIFS('UP Holidays'!$A$5:$A$33,A18-1,'UP Holidays'!$E$5:$E$33,"Caution")+COUNTIFS('UP Holidays'!$A$5:$A$33,A18,'UP Holidays'!$E$5:$E$33,"Caution")</f>
        <v>0</v>
      </c>
      <c r="K18" s="34" t="str">
        <f t="shared" si="1"/>
        <v>YATRA DAY</v>
      </c>
      <c r="L18" s="6"/>
      <c r="M18" s="53" t="str">
        <f t="shared" si="2"/>
        <v>YATRA DAY</v>
      </c>
      <c r="N18" s="52">
        <f t="shared" si="3"/>
        <v>46409</v>
      </c>
      <c r="O18" s="33">
        <f>COUNTIFS('Route Plan'!$Y$5:$Y$77,A18,'Route Plan'!$I$5:$I$77,"&gt;0")</f>
        <v>4</v>
      </c>
      <c r="P18" s="33">
        <f t="shared" si="4"/>
        <v>4</v>
      </c>
    </row>
    <row r="19" spans="1:16" x14ac:dyDescent="0.2">
      <c r="A19" s="52">
        <v>46416</v>
      </c>
      <c r="B19" s="52">
        <f t="shared" si="0"/>
        <v>46412</v>
      </c>
      <c r="C19" s="34" t="str">
        <f>IFERROR(INDEX('UP Holidays'!$C$5:$C$33,MATCH(A19-2,'UP Holidays'!$A$5:$A$33,0)),"")</f>
        <v/>
      </c>
      <c r="D19" s="34" t="str">
        <f>IFERROR(INDEX('UP Holidays'!$C$5:$C$33,MATCH(A19-1,'UP Holidays'!$A$5:$A$33,0)),"")</f>
        <v/>
      </c>
      <c r="E19" s="34" t="str">
        <f>IFERROR(INDEX('UP Holidays'!$C$5:$C$33,MATCH(A19,'UP Holidays'!$A$5:$A$33,0)),"")</f>
        <v/>
      </c>
      <c r="F19" s="34" t="str">
        <f>IFERROR(INDEX('UP Holidays'!$C$5:$C$33,MATCH(A19+1,'UP Holidays'!$A$5:$A$33,0)),"")</f>
        <v/>
      </c>
      <c r="G19" s="33">
        <f>COUNTIFS('UP Holidays'!$A$5:$A$33,A19-2,'UP Holidays'!$E$5:$E$33,"Yes")+COUNTIFS('UP Holidays'!$A$5:$A$33,A19-1,'UP Holidays'!$E$5:$E$33,"Yes")</f>
        <v>0</v>
      </c>
      <c r="H19" s="33">
        <f>COUNTIFS('UP Holidays'!$A$5:$A$33,A19,'UP Holidays'!$E$5:$E$33,"Yes")</f>
        <v>0</v>
      </c>
      <c r="I19" s="33">
        <f>COUNTIFS('UP Holidays'!$A$5:$A$33,A19+1,'UP Holidays'!$E$5:$E$33,"Yes")</f>
        <v>0</v>
      </c>
      <c r="J19" s="33">
        <f>COUNTIFS('UP Holidays'!$A$5:$A$33,A19-2,'UP Holidays'!$E$5:$E$33,"Caution")+COUNTIFS('UP Holidays'!$A$5:$A$33,A19-1,'UP Holidays'!$E$5:$E$33,"Caution")+COUNTIFS('UP Holidays'!$A$5:$A$33,A19,'UP Holidays'!$E$5:$E$33,"Caution")</f>
        <v>0</v>
      </c>
      <c r="K19" s="34" t="str">
        <f t="shared" si="1"/>
        <v>YATRA DAY</v>
      </c>
      <c r="L19" s="6"/>
      <c r="M19" s="53" t="str">
        <f t="shared" si="2"/>
        <v>YATRA DAY</v>
      </c>
      <c r="N19" s="52">
        <f t="shared" si="3"/>
        <v>46416</v>
      </c>
      <c r="O19" s="33">
        <f>COUNTIFS('Route Plan'!$Y$5:$Y$77,A19,'Route Plan'!$I$5:$I$77,"&gt;0")</f>
        <v>4</v>
      </c>
      <c r="P19" s="33">
        <f t="shared" si="4"/>
        <v>4</v>
      </c>
    </row>
    <row r="20" spans="1:16" x14ac:dyDescent="0.2">
      <c r="A20" s="52">
        <v>46423</v>
      </c>
      <c r="B20" s="52">
        <f t="shared" si="0"/>
        <v>46419</v>
      </c>
      <c r="C20" s="34" t="str">
        <f>IFERROR(INDEX('UP Holidays'!$C$5:$C$33,MATCH(A20-2,'UP Holidays'!$A$5:$A$33,0)),"")</f>
        <v/>
      </c>
      <c r="D20" s="34" t="str">
        <f>IFERROR(INDEX('UP Holidays'!$C$5:$C$33,MATCH(A20-1,'UP Holidays'!$A$5:$A$33,0)),"")</f>
        <v/>
      </c>
      <c r="E20" s="34" t="str">
        <f>IFERROR(INDEX('UP Holidays'!$C$5:$C$33,MATCH(A20,'UP Holidays'!$A$5:$A$33,0)),"")</f>
        <v/>
      </c>
      <c r="F20" s="34" t="str">
        <f>IFERROR(INDEX('UP Holidays'!$C$5:$C$33,MATCH(A20+1,'UP Holidays'!$A$5:$A$33,0)),"")</f>
        <v/>
      </c>
      <c r="G20" s="33">
        <f>COUNTIFS('UP Holidays'!$A$5:$A$33,A20-2,'UP Holidays'!$E$5:$E$33,"Yes")+COUNTIFS('UP Holidays'!$A$5:$A$33,A20-1,'UP Holidays'!$E$5:$E$33,"Yes")</f>
        <v>0</v>
      </c>
      <c r="H20" s="33">
        <f>COUNTIFS('UP Holidays'!$A$5:$A$33,A20,'UP Holidays'!$E$5:$E$33,"Yes")</f>
        <v>0</v>
      </c>
      <c r="I20" s="33">
        <f>COUNTIFS('UP Holidays'!$A$5:$A$33,A20+1,'UP Holidays'!$E$5:$E$33,"Yes")</f>
        <v>0</v>
      </c>
      <c r="J20" s="33">
        <f>COUNTIFS('UP Holidays'!$A$5:$A$33,A20-2,'UP Holidays'!$E$5:$E$33,"Caution")+COUNTIFS('UP Holidays'!$A$5:$A$33,A20-1,'UP Holidays'!$E$5:$E$33,"Caution")+COUNTIFS('UP Holidays'!$A$5:$A$33,A20,'UP Holidays'!$E$5:$E$33,"Caution")</f>
        <v>0</v>
      </c>
      <c r="K20" s="34" t="str">
        <f t="shared" si="1"/>
        <v>YATRA DAY</v>
      </c>
      <c r="L20" s="6"/>
      <c r="M20" s="53" t="str">
        <f t="shared" si="2"/>
        <v>YATRA DAY</v>
      </c>
      <c r="N20" s="52">
        <f t="shared" si="3"/>
        <v>46423</v>
      </c>
      <c r="O20" s="33">
        <f>COUNTIFS('Route Plan'!$Y$5:$Y$77,A20,'Route Plan'!$I$5:$I$77,"&gt;0")</f>
        <v>4</v>
      </c>
      <c r="P20" s="33">
        <f t="shared" si="4"/>
        <v>4</v>
      </c>
    </row>
    <row r="21" spans="1:16" ht="28" x14ac:dyDescent="0.2">
      <c r="A21" s="52">
        <v>46430</v>
      </c>
      <c r="B21" s="52">
        <f t="shared" si="0"/>
        <v>46426</v>
      </c>
      <c r="C21" s="34" t="str">
        <f>IFERROR(INDEX('UP Holidays'!$C$5:$C$33,MATCH(A21-2,'UP Holidays'!$A$5:$A$33,0)),"")</f>
        <v/>
      </c>
      <c r="D21" s="34" t="str">
        <f>IFERROR(INDEX('UP Holidays'!$C$5:$C$33,MATCH(A21-1,'UP Holidays'!$A$5:$A$33,0)),"")</f>
        <v>Basant Panchami (approx.)</v>
      </c>
      <c r="E21" s="34" t="str">
        <f>IFERROR(INDEX('UP Holidays'!$C$5:$C$33,MATCH(A21,'UP Holidays'!$A$5:$A$33,0)),"")</f>
        <v/>
      </c>
      <c r="F21" s="34" t="str">
        <f>IFERROR(INDEX('UP Holidays'!$C$5:$C$33,MATCH(A21+1,'UP Holidays'!$A$5:$A$33,0)),"")</f>
        <v/>
      </c>
      <c r="G21" s="33">
        <f>COUNTIFS('UP Holidays'!$A$5:$A$33,A21-2,'UP Holidays'!$E$5:$E$33,"Yes")+COUNTIFS('UP Holidays'!$A$5:$A$33,A21-1,'UP Holidays'!$E$5:$E$33,"Yes")</f>
        <v>0</v>
      </c>
      <c r="H21" s="33">
        <f>COUNTIFS('UP Holidays'!$A$5:$A$33,A21,'UP Holidays'!$E$5:$E$33,"Yes")</f>
        <v>0</v>
      </c>
      <c r="I21" s="33">
        <f>COUNTIFS('UP Holidays'!$A$5:$A$33,A21+1,'UP Holidays'!$E$5:$E$33,"Yes")</f>
        <v>0</v>
      </c>
      <c r="J21" s="33">
        <f>COUNTIFS('UP Holidays'!$A$5:$A$33,A21-2,'UP Holidays'!$E$5:$E$33,"Caution")+COUNTIFS('UP Holidays'!$A$5:$A$33,A21-1,'UP Holidays'!$E$5:$E$33,"Caution")+COUNTIFS('UP Holidays'!$A$5:$A$33,A21,'UP Holidays'!$E$5:$E$33,"Caution")</f>
        <v>1</v>
      </c>
      <c r="K21" s="34" t="str">
        <f t="shared" si="1"/>
        <v>YATRA DAY – CAUTION</v>
      </c>
      <c r="L21" s="6"/>
      <c r="M21" s="53" t="str">
        <f t="shared" si="2"/>
        <v>YATRA DAY – CAUTION</v>
      </c>
      <c r="N21" s="52">
        <f t="shared" si="3"/>
        <v>46430</v>
      </c>
      <c r="O21" s="33">
        <f>COUNTIFS('Route Plan'!$Y$5:$Y$77,A21,'Route Plan'!$I$5:$I$77,"&gt;0")</f>
        <v>4</v>
      </c>
      <c r="P21" s="33">
        <f t="shared" si="4"/>
        <v>4</v>
      </c>
    </row>
    <row r="22" spans="1:16" ht="28" x14ac:dyDescent="0.2">
      <c r="A22" s="52">
        <v>46437</v>
      </c>
      <c r="B22" s="52">
        <f t="shared" si="0"/>
        <v>46433</v>
      </c>
      <c r="C22" s="34" t="str">
        <f>IFERROR(INDEX('UP Holidays'!$C$5:$C$33,MATCH(A22-2,'UP Holidays'!$A$5:$A$33,0)),"")</f>
        <v/>
      </c>
      <c r="D22" s="34" t="str">
        <f>IFERROR(INDEX('UP Holidays'!$C$5:$C$33,MATCH(A22-1,'UP Holidays'!$A$5:$A$33,0)),"")</f>
        <v/>
      </c>
      <c r="E22" s="34" t="str">
        <f>IFERROR(INDEX('UP Holidays'!$C$5:$C$33,MATCH(A22,'UP Holidays'!$A$5:$A$33,0)),"")</f>
        <v/>
      </c>
      <c r="F22" s="34" t="str">
        <f>IFERROR(INDEX('UP Holidays'!$C$5:$C$33,MATCH(A22+1,'UP Holidays'!$A$5:$A$33,0)),"")</f>
        <v>Sant Ravidas Jayanti / Magh Purnima (approx.)</v>
      </c>
      <c r="G22" s="33">
        <f>COUNTIFS('UP Holidays'!$A$5:$A$33,A22-2,'UP Holidays'!$E$5:$E$33,"Yes")+COUNTIFS('UP Holidays'!$A$5:$A$33,A22-1,'UP Holidays'!$E$5:$E$33,"Yes")</f>
        <v>0</v>
      </c>
      <c r="H22" s="33">
        <f>COUNTIFS('UP Holidays'!$A$5:$A$33,A22,'UP Holidays'!$E$5:$E$33,"Yes")</f>
        <v>0</v>
      </c>
      <c r="I22" s="33">
        <f>COUNTIFS('UP Holidays'!$A$5:$A$33,A22+1,'UP Holidays'!$E$5:$E$33,"Yes")</f>
        <v>1</v>
      </c>
      <c r="J22" s="33">
        <f>COUNTIFS('UP Holidays'!$A$5:$A$33,A22-2,'UP Holidays'!$E$5:$E$33,"Caution")+COUNTIFS('UP Holidays'!$A$5:$A$33,A22-1,'UP Holidays'!$E$5:$E$33,"Caution")+COUNTIFS('UP Holidays'!$A$5:$A$33,A22,'UP Holidays'!$E$5:$E$33,"Caution")</f>
        <v>0</v>
      </c>
      <c r="K22" s="34" t="str">
        <f t="shared" si="1"/>
        <v>YATRA DAY</v>
      </c>
      <c r="L22" s="6"/>
      <c r="M22" s="53" t="str">
        <f t="shared" si="2"/>
        <v>YATRA DAY</v>
      </c>
      <c r="N22" s="52">
        <f t="shared" si="3"/>
        <v>46437</v>
      </c>
      <c r="O22" s="33">
        <f>COUNTIFS('Route Plan'!$Y$5:$Y$77,A22,'Route Plan'!$I$5:$I$77,"&gt;0")</f>
        <v>4</v>
      </c>
      <c r="P22" s="33">
        <f t="shared" si="4"/>
        <v>4</v>
      </c>
    </row>
    <row r="23" spans="1:16" x14ac:dyDescent="0.2">
      <c r="A23" s="52">
        <v>46444</v>
      </c>
      <c r="B23" s="52">
        <f t="shared" si="0"/>
        <v>46440</v>
      </c>
      <c r="C23" s="34" t="str">
        <f>IFERROR(INDEX('UP Holidays'!$C$5:$C$33,MATCH(A23-2,'UP Holidays'!$A$5:$A$33,0)),"")</f>
        <v/>
      </c>
      <c r="D23" s="34" t="str">
        <f>IFERROR(INDEX('UP Holidays'!$C$5:$C$33,MATCH(A23-1,'UP Holidays'!$A$5:$A$33,0)),"")</f>
        <v/>
      </c>
      <c r="E23" s="34" t="str">
        <f>IFERROR(INDEX('UP Holidays'!$C$5:$C$33,MATCH(A23,'UP Holidays'!$A$5:$A$33,0)),"")</f>
        <v/>
      </c>
      <c r="F23" s="34" t="str">
        <f>IFERROR(INDEX('UP Holidays'!$C$5:$C$33,MATCH(A23+1,'UP Holidays'!$A$5:$A$33,0)),"")</f>
        <v/>
      </c>
      <c r="G23" s="33">
        <f>COUNTIFS('UP Holidays'!$A$5:$A$33,A23-2,'UP Holidays'!$E$5:$E$33,"Yes")+COUNTIFS('UP Holidays'!$A$5:$A$33,A23-1,'UP Holidays'!$E$5:$E$33,"Yes")</f>
        <v>0</v>
      </c>
      <c r="H23" s="33">
        <f>COUNTIFS('UP Holidays'!$A$5:$A$33,A23,'UP Holidays'!$E$5:$E$33,"Yes")</f>
        <v>0</v>
      </c>
      <c r="I23" s="33">
        <f>COUNTIFS('UP Holidays'!$A$5:$A$33,A23+1,'UP Holidays'!$E$5:$E$33,"Yes")</f>
        <v>0</v>
      </c>
      <c r="J23" s="33">
        <f>COUNTIFS('UP Holidays'!$A$5:$A$33,A23-2,'UP Holidays'!$E$5:$E$33,"Caution")+COUNTIFS('UP Holidays'!$A$5:$A$33,A23-1,'UP Holidays'!$E$5:$E$33,"Caution")+COUNTIFS('UP Holidays'!$A$5:$A$33,A23,'UP Holidays'!$E$5:$E$33,"Caution")</f>
        <v>0</v>
      </c>
      <c r="K23" s="34" t="str">
        <f t="shared" si="1"/>
        <v>YATRA DAY</v>
      </c>
      <c r="L23" s="6"/>
      <c r="M23" s="53" t="str">
        <f t="shared" si="2"/>
        <v>YATRA DAY</v>
      </c>
      <c r="N23" s="52">
        <f t="shared" si="3"/>
        <v>46444</v>
      </c>
      <c r="O23" s="33">
        <f>COUNTIFS('Route Plan'!$Y$5:$Y$77,A23,'Route Plan'!$I$5:$I$77,"&gt;0")</f>
        <v>3</v>
      </c>
      <c r="P23" s="33">
        <f t="shared" si="4"/>
        <v>3</v>
      </c>
    </row>
    <row r="24" spans="1:16" x14ac:dyDescent="0.2">
      <c r="A24" s="52">
        <v>46451</v>
      </c>
      <c r="B24" s="52">
        <f t="shared" si="0"/>
        <v>46447</v>
      </c>
      <c r="C24" s="34" t="str">
        <f>IFERROR(INDEX('UP Holidays'!$C$5:$C$33,MATCH(A24-2,'UP Holidays'!$A$5:$A$33,0)),"")</f>
        <v/>
      </c>
      <c r="D24" s="34" t="str">
        <f>IFERROR(INDEX('UP Holidays'!$C$5:$C$33,MATCH(A24-1,'UP Holidays'!$A$5:$A$33,0)),"")</f>
        <v/>
      </c>
      <c r="E24" s="34" t="str">
        <f>IFERROR(INDEX('UP Holidays'!$C$5:$C$33,MATCH(A24,'UP Holidays'!$A$5:$A$33,0)),"")</f>
        <v/>
      </c>
      <c r="F24" s="34" t="str">
        <f>IFERROR(INDEX('UP Holidays'!$C$5:$C$33,MATCH(A24+1,'UP Holidays'!$A$5:$A$33,0)),"")</f>
        <v>Maha Shivratri (approx.)</v>
      </c>
      <c r="G24" s="33">
        <f>COUNTIFS('UP Holidays'!$A$5:$A$33,A24-2,'UP Holidays'!$E$5:$E$33,"Yes")+COUNTIFS('UP Holidays'!$A$5:$A$33,A24-1,'UP Holidays'!$E$5:$E$33,"Yes")</f>
        <v>0</v>
      </c>
      <c r="H24" s="33">
        <f>COUNTIFS('UP Holidays'!$A$5:$A$33,A24,'UP Holidays'!$E$5:$E$33,"Yes")</f>
        <v>0</v>
      </c>
      <c r="I24" s="33">
        <f>COUNTIFS('UP Holidays'!$A$5:$A$33,A24+1,'UP Holidays'!$E$5:$E$33,"Yes")</f>
        <v>1</v>
      </c>
      <c r="J24" s="33">
        <f>COUNTIFS('UP Holidays'!$A$5:$A$33,A24-2,'UP Holidays'!$E$5:$E$33,"Caution")+COUNTIFS('UP Holidays'!$A$5:$A$33,A24-1,'UP Holidays'!$E$5:$E$33,"Caution")+COUNTIFS('UP Holidays'!$A$5:$A$33,A24,'UP Holidays'!$E$5:$E$33,"Caution")</f>
        <v>0</v>
      </c>
      <c r="K24" s="34" t="str">
        <f t="shared" si="1"/>
        <v>YATRA DAY</v>
      </c>
      <c r="L24" s="6"/>
      <c r="M24" s="53" t="str">
        <f t="shared" si="2"/>
        <v>YATRA DAY</v>
      </c>
      <c r="N24" s="52">
        <f t="shared" si="3"/>
        <v>46451</v>
      </c>
      <c r="O24" s="33">
        <f>COUNTIFS('Route Plan'!$Y$5:$Y$77,A24,'Route Plan'!$I$5:$I$77,"&gt;0")</f>
        <v>4</v>
      </c>
      <c r="P24" s="33">
        <f t="shared" si="4"/>
        <v>4</v>
      </c>
    </row>
    <row r="25" spans="1:16" x14ac:dyDescent="0.2">
      <c r="A25" s="52">
        <v>46458</v>
      </c>
      <c r="B25" s="52">
        <f t="shared" si="0"/>
        <v>46454</v>
      </c>
      <c r="C25" s="34" t="str">
        <f>IFERROR(INDEX('UP Holidays'!$C$5:$C$33,MATCH(A25-2,'UP Holidays'!$A$5:$A$33,0)),"")</f>
        <v/>
      </c>
      <c r="D25" s="34" t="str">
        <f>IFERROR(INDEX('UP Holidays'!$C$5:$C$33,MATCH(A25-1,'UP Holidays'!$A$5:$A$33,0)),"")</f>
        <v/>
      </c>
      <c r="E25" s="34" t="str">
        <f>IFERROR(INDEX('UP Holidays'!$C$5:$C$33,MATCH(A25,'UP Holidays'!$A$5:$A$33,0)),"")</f>
        <v/>
      </c>
      <c r="F25" s="34" t="str">
        <f>IFERROR(INDEX('UP Holidays'!$C$5:$C$33,MATCH(A25+1,'UP Holidays'!$A$5:$A$33,0)),"")</f>
        <v/>
      </c>
      <c r="G25" s="33">
        <f>COUNTIFS('UP Holidays'!$A$5:$A$33,A25-2,'UP Holidays'!$E$5:$E$33,"Yes")+COUNTIFS('UP Holidays'!$A$5:$A$33,A25-1,'UP Holidays'!$E$5:$E$33,"Yes")</f>
        <v>0</v>
      </c>
      <c r="H25" s="33">
        <f>COUNTIFS('UP Holidays'!$A$5:$A$33,A25,'UP Holidays'!$E$5:$E$33,"Yes")</f>
        <v>0</v>
      </c>
      <c r="I25" s="33">
        <f>COUNTIFS('UP Holidays'!$A$5:$A$33,A25+1,'UP Holidays'!$E$5:$E$33,"Yes")</f>
        <v>0</v>
      </c>
      <c r="J25" s="33">
        <f>COUNTIFS('UP Holidays'!$A$5:$A$33,A25-2,'UP Holidays'!$E$5:$E$33,"Caution")+COUNTIFS('UP Holidays'!$A$5:$A$33,A25-1,'UP Holidays'!$E$5:$E$33,"Caution")+COUNTIFS('UP Holidays'!$A$5:$A$33,A25,'UP Holidays'!$E$5:$E$33,"Caution")</f>
        <v>0</v>
      </c>
      <c r="K25" s="34" t="str">
        <f t="shared" si="1"/>
        <v>YATRA DAY</v>
      </c>
      <c r="L25" s="6"/>
      <c r="M25" s="53" t="str">
        <f t="shared" si="2"/>
        <v>YATRA DAY</v>
      </c>
      <c r="N25" s="52">
        <f t="shared" si="3"/>
        <v>46458</v>
      </c>
      <c r="O25" s="33">
        <f>COUNTIFS('Route Plan'!$Y$5:$Y$77,A25,'Route Plan'!$I$5:$I$77,"&gt;0")</f>
        <v>4</v>
      </c>
      <c r="P25" s="33">
        <f t="shared" si="4"/>
        <v>4</v>
      </c>
    </row>
    <row r="26" spans="1:16" x14ac:dyDescent="0.2">
      <c r="A26" s="52">
        <v>46465</v>
      </c>
      <c r="B26" s="52">
        <f t="shared" si="0"/>
        <v>46461</v>
      </c>
      <c r="C26" s="34" t="str">
        <f>IFERROR(INDEX('UP Holidays'!$C$5:$C$33,MATCH(A26-2,'UP Holidays'!$A$5:$A$33,0)),"")</f>
        <v/>
      </c>
      <c r="D26" s="34" t="str">
        <f>IFERROR(INDEX('UP Holidays'!$C$5:$C$33,MATCH(A26-1,'UP Holidays'!$A$5:$A$33,0)),"")</f>
        <v/>
      </c>
      <c r="E26" s="34" t="str">
        <f>IFERROR(INDEX('UP Holidays'!$C$5:$C$33,MATCH(A26,'UP Holidays'!$A$5:$A$33,0)),"")</f>
        <v/>
      </c>
      <c r="F26" s="34" t="str">
        <f>IFERROR(INDEX('UP Holidays'!$C$5:$C$33,MATCH(A26+1,'UP Holidays'!$A$5:$A$33,0)),"")</f>
        <v/>
      </c>
      <c r="G26" s="33">
        <f>COUNTIFS('UP Holidays'!$A$5:$A$33,A26-2,'UP Holidays'!$E$5:$E$33,"Yes")+COUNTIFS('UP Holidays'!$A$5:$A$33,A26-1,'UP Holidays'!$E$5:$E$33,"Yes")</f>
        <v>0</v>
      </c>
      <c r="H26" s="33">
        <f>COUNTIFS('UP Holidays'!$A$5:$A$33,A26,'UP Holidays'!$E$5:$E$33,"Yes")</f>
        <v>0</v>
      </c>
      <c r="I26" s="33">
        <f>COUNTIFS('UP Holidays'!$A$5:$A$33,A26+1,'UP Holidays'!$E$5:$E$33,"Yes")</f>
        <v>0</v>
      </c>
      <c r="J26" s="33">
        <f>COUNTIFS('UP Holidays'!$A$5:$A$33,A26-2,'UP Holidays'!$E$5:$E$33,"Caution")+COUNTIFS('UP Holidays'!$A$5:$A$33,A26-1,'UP Holidays'!$E$5:$E$33,"Caution")+COUNTIFS('UP Holidays'!$A$5:$A$33,A26,'UP Holidays'!$E$5:$E$33,"Caution")</f>
        <v>0</v>
      </c>
      <c r="K26" s="34" t="str">
        <f t="shared" si="1"/>
        <v>YATRA DAY</v>
      </c>
      <c r="L26" s="6"/>
      <c r="M26" s="53" t="str">
        <f t="shared" si="2"/>
        <v>YATRA DAY</v>
      </c>
      <c r="N26" s="52">
        <f t="shared" si="3"/>
        <v>46465</v>
      </c>
      <c r="O26" s="33">
        <f>COUNTIFS('Route Plan'!$Y$5:$Y$77,A26,'Route Plan'!$I$5:$I$77,"&gt;0")</f>
        <v>3</v>
      </c>
      <c r="P26" s="33">
        <f t="shared" si="4"/>
        <v>3</v>
      </c>
    </row>
    <row r="27" spans="1:16" x14ac:dyDescent="0.2">
      <c r="A27" s="52">
        <v>46472</v>
      </c>
      <c r="B27" s="52">
        <f t="shared" si="0"/>
        <v>46468</v>
      </c>
      <c r="C27" s="34" t="str">
        <f>IFERROR(INDEX('UP Holidays'!$C$5:$C$33,MATCH(A27-2,'UP Holidays'!$A$5:$A$33,0)),"")</f>
        <v/>
      </c>
      <c r="D27" s="34" t="str">
        <f>IFERROR(INDEX('UP Holidays'!$C$5:$C$33,MATCH(A27-1,'UP Holidays'!$A$5:$A$33,0)),"")</f>
        <v/>
      </c>
      <c r="E27" s="34" t="str">
        <f>IFERROR(INDEX('UP Holidays'!$C$5:$C$33,MATCH(A27,'UP Holidays'!$A$5:$A$33,0)),"")</f>
        <v>Good Friday</v>
      </c>
      <c r="F27" s="34" t="str">
        <f>IFERROR(INDEX('UP Holidays'!$C$5:$C$33,MATCH(A27+1,'UP Holidays'!$A$5:$A$33,0)),"")</f>
        <v/>
      </c>
      <c r="G27" s="33">
        <f>COUNTIFS('UP Holidays'!$A$5:$A$33,A27-2,'UP Holidays'!$E$5:$E$33,"Yes")+COUNTIFS('UP Holidays'!$A$5:$A$33,A27-1,'UP Holidays'!$E$5:$E$33,"Yes")</f>
        <v>0</v>
      </c>
      <c r="H27" s="33">
        <f>COUNTIFS('UP Holidays'!$A$5:$A$33,A27,'UP Holidays'!$E$5:$E$33,"Yes")</f>
        <v>1</v>
      </c>
      <c r="I27" s="33">
        <f>COUNTIFS('UP Holidays'!$A$5:$A$33,A27+1,'UP Holidays'!$E$5:$E$33,"Yes")</f>
        <v>0</v>
      </c>
      <c r="J27" s="33">
        <f>COUNTIFS('UP Holidays'!$A$5:$A$33,A27-2,'UP Holidays'!$E$5:$E$33,"Caution")+COUNTIFS('UP Holidays'!$A$5:$A$33,A27-1,'UP Holidays'!$E$5:$E$33,"Caution")+COUNTIFS('UP Holidays'!$A$5:$A$33,A27,'UP Holidays'!$E$5:$E$33,"Caution")</f>
        <v>0</v>
      </c>
      <c r="K27" s="34" t="str">
        <f t="shared" si="1"/>
        <v>SATURDAY (Fri holiday)</v>
      </c>
      <c r="L27" s="6"/>
      <c r="M27" s="53" t="str">
        <f t="shared" si="2"/>
        <v>SATURDAY (Fri holiday)</v>
      </c>
      <c r="N27" s="52">
        <f t="shared" si="3"/>
        <v>46473</v>
      </c>
      <c r="O27" s="33">
        <f>COUNTIFS('Route Plan'!$Y$5:$Y$77,A27,'Route Plan'!$I$5:$I$77,"&gt;0")</f>
        <v>0</v>
      </c>
      <c r="P27" s="33">
        <f t="shared" si="4"/>
        <v>0</v>
      </c>
    </row>
    <row r="28" spans="1:16" x14ac:dyDescent="0.2">
      <c r="A28" s="52">
        <v>46479</v>
      </c>
      <c r="B28" s="52">
        <f t="shared" si="0"/>
        <v>46475</v>
      </c>
      <c r="C28" s="34" t="str">
        <f>IFERROR(INDEX('UP Holidays'!$C$5:$C$33,MATCH(A28-2,'UP Holidays'!$A$5:$A$33,0)),"")</f>
        <v/>
      </c>
      <c r="D28" s="34" t="str">
        <f>IFERROR(INDEX('UP Holidays'!$C$5:$C$33,MATCH(A28-1,'UP Holidays'!$A$5:$A$33,0)),"")</f>
        <v/>
      </c>
      <c r="E28" s="34" t="str">
        <f>IFERROR(INDEX('UP Holidays'!$C$5:$C$33,MATCH(A28,'UP Holidays'!$A$5:$A$33,0)),"")</f>
        <v/>
      </c>
      <c r="F28" s="34" t="str">
        <f>IFERROR(INDEX('UP Holidays'!$C$5:$C$33,MATCH(A28+1,'UP Holidays'!$A$5:$A$33,0)),"")</f>
        <v/>
      </c>
      <c r="G28" s="33">
        <f>COUNTIFS('UP Holidays'!$A$5:$A$33,A28-2,'UP Holidays'!$E$5:$E$33,"Yes")+COUNTIFS('UP Holidays'!$A$5:$A$33,A28-1,'UP Holidays'!$E$5:$E$33,"Yes")</f>
        <v>0</v>
      </c>
      <c r="H28" s="33">
        <f>COUNTIFS('UP Holidays'!$A$5:$A$33,A28,'UP Holidays'!$E$5:$E$33,"Yes")</f>
        <v>0</v>
      </c>
      <c r="I28" s="33">
        <f>COUNTIFS('UP Holidays'!$A$5:$A$33,A28+1,'UP Holidays'!$E$5:$E$33,"Yes")</f>
        <v>0</v>
      </c>
      <c r="J28" s="33">
        <f>COUNTIFS('UP Holidays'!$A$5:$A$33,A28-2,'UP Holidays'!$E$5:$E$33,"Caution")+COUNTIFS('UP Holidays'!$A$5:$A$33,A28-1,'UP Holidays'!$E$5:$E$33,"Caution")+COUNTIFS('UP Holidays'!$A$5:$A$33,A28,'UP Holidays'!$E$5:$E$33,"Caution")</f>
        <v>0</v>
      </c>
      <c r="K28" s="34" t="str">
        <f t="shared" si="1"/>
        <v>YATRA DAY</v>
      </c>
      <c r="L28" s="6"/>
      <c r="M28" s="53" t="str">
        <f t="shared" si="2"/>
        <v>YATRA DAY</v>
      </c>
      <c r="N28" s="52">
        <f t="shared" si="3"/>
        <v>46479</v>
      </c>
      <c r="O28" s="33">
        <f>COUNTIFS('Route Plan'!$Y$5:$Y$77,A28,'Route Plan'!$I$5:$I$77,"&gt;0")</f>
        <v>0</v>
      </c>
      <c r="P28" s="33">
        <f t="shared" si="4"/>
        <v>0</v>
      </c>
    </row>
    <row r="29" spans="1:16" x14ac:dyDescent="0.2">
      <c r="A29" s="51" t="s">
        <v>25</v>
      </c>
      <c r="O29" s="51">
        <f>SUM(O5:O28)</f>
        <v>63</v>
      </c>
      <c r="P29" s="51">
        <f>SUM(P5:P28)</f>
        <v>63</v>
      </c>
    </row>
  </sheetData>
  <conditionalFormatting sqref="M5:M28">
    <cfRule type="expression" dxfId="5" priority="2">
      <formula>LEFT(M5,4)="SKIP"</formula>
    </cfRule>
    <cfRule type="expression" dxfId="4" priority="3">
      <formula>LEFT(M5,8)="SATURDAY"</formula>
    </cfRule>
    <cfRule type="expression" dxfId="3" priority="4">
      <formula>ISNUMBER(SEARCH("CAUTION",M5))</formula>
    </cfRule>
    <cfRule type="expression" dxfId="2" priority="5">
      <formula>M5="YATRA DAY"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E6" sqref="E6"/>
    </sheetView>
  </sheetViews>
  <sheetFormatPr baseColWidth="10" defaultColWidth="8.6640625" defaultRowHeight="15" x14ac:dyDescent="0.2"/>
  <cols>
    <col min="1" max="2" width="17" customWidth="1"/>
    <col min="3" max="3" width="28" customWidth="1"/>
    <col min="4" max="4" width="16" customWidth="1"/>
    <col min="5" max="6" width="22" customWidth="1"/>
    <col min="7" max="7" width="24" customWidth="1"/>
    <col min="8" max="8" width="26" customWidth="1"/>
    <col min="9" max="10" width="10" customWidth="1"/>
  </cols>
  <sheetData>
    <row r="1" spans="1:10" ht="18" x14ac:dyDescent="0.2">
      <c r="A1" s="1" t="s">
        <v>305</v>
      </c>
    </row>
    <row r="2" spans="1:10" x14ac:dyDescent="0.2">
      <c r="A2" s="2" t="s">
        <v>306</v>
      </c>
    </row>
    <row r="4" spans="1:10" ht="31.5" customHeight="1" x14ac:dyDescent="0.2">
      <c r="A4" s="3" t="s">
        <v>307</v>
      </c>
      <c r="B4" s="3" t="s">
        <v>308</v>
      </c>
      <c r="C4" s="3" t="s">
        <v>309</v>
      </c>
      <c r="D4" s="3" t="s">
        <v>21</v>
      </c>
      <c r="E4" s="3" t="s">
        <v>12</v>
      </c>
      <c r="F4" s="3" t="s">
        <v>14</v>
      </c>
      <c r="G4" s="3" t="s">
        <v>17</v>
      </c>
      <c r="H4" s="3" t="s">
        <v>19</v>
      </c>
      <c r="I4" s="3" t="s">
        <v>310</v>
      </c>
      <c r="J4" s="3" t="s">
        <v>303</v>
      </c>
    </row>
    <row r="5" spans="1:10" x14ac:dyDescent="0.2">
      <c r="A5" s="52">
        <f>'Friday Calendar'!A5</f>
        <v>46318</v>
      </c>
      <c r="B5" s="52">
        <f>IF('Friday Calendar'!N5="","—",'Friday Calendar'!N5)</f>
        <v>46318</v>
      </c>
      <c r="C5" s="33" t="str">
        <f>'Friday Calendar'!M5</f>
        <v>YATRA DAY</v>
      </c>
      <c r="D5" s="54" t="str">
        <f>IFERROR(INDEX('Route Plan'!$G$5:$G$77,MATCH(D$4&amp;"|"&amp;$A5,'Route Plan'!$Z$5:$Z$77,0)),"")</f>
        <v>Lucknow</v>
      </c>
      <c r="E5" s="55" t="str">
        <f>IFERROR(INDEX('Route Plan'!$G$5:$G$77,MATCH(E$4&amp;"|"&amp;$A5,'Route Plan'!$Z$5:$Z$77,0)),"")</f>
        <v/>
      </c>
      <c r="F5" s="56" t="str">
        <f>IFERROR(INDEX('Route Plan'!$G$5:$G$77,MATCH(F$4&amp;"|"&amp;$A5,'Route Plan'!$Z$5:$Z$77,0)),"")</f>
        <v/>
      </c>
      <c r="G5" s="57" t="str">
        <f>IFERROR(INDEX('Route Plan'!$G$5:$G$77,MATCH(G$4&amp;"|"&amp;$A5,'Route Plan'!$Z$5:$Z$77,0)),"")</f>
        <v/>
      </c>
      <c r="H5" s="58" t="str">
        <f>IFERROR(INDEX('Route Plan'!$G$5:$G$77,MATCH(H$4&amp;"|"&amp;$A5,'Route Plan'!$Z$5:$Z$77,0)),"")</f>
        <v/>
      </c>
      <c r="I5" s="33">
        <f t="shared" ref="I5:I28" si="0">COUNTIF(D5:H5,"?*")-COUNTIF(D5:H5,"RESERVE SLOT")</f>
        <v>1</v>
      </c>
      <c r="J5" s="33">
        <f t="shared" ref="J5:J28" si="1">I5</f>
        <v>1</v>
      </c>
    </row>
    <row r="6" spans="1:10" x14ac:dyDescent="0.2">
      <c r="A6" s="52">
        <f>'Friday Calendar'!A6</f>
        <v>46325</v>
      </c>
      <c r="B6" s="52">
        <f>IF('Friday Calendar'!N6="","—",'Friday Calendar'!N6)</f>
        <v>46325</v>
      </c>
      <c r="C6" s="33" t="str">
        <f>'Friday Calendar'!M6</f>
        <v>YATRA DAY – CAUTION</v>
      </c>
      <c r="D6" s="54" t="str">
        <f>IFERROR(INDEX('Route Plan'!$G$5:$G$77,MATCH(D$4&amp;"|"&amp;$A6,'Route Plan'!$Z$5:$Z$77,0)),"")</f>
        <v/>
      </c>
      <c r="E6" s="55" t="str">
        <f>IFERROR(INDEX('Route Plan'!$G$5:$G$77,MATCH(E$4&amp;"|"&amp;$A6,'Route Plan'!$Z$5:$Z$77,0)),"")</f>
        <v>Bareilly</v>
      </c>
      <c r="F6" s="56" t="str">
        <f>IFERROR(INDEX('Route Plan'!$G$5:$G$77,MATCH(F$4&amp;"|"&amp;$A6,'Route Plan'!$Z$5:$Z$77,0)),"")</f>
        <v>Gorakhpur</v>
      </c>
      <c r="G6" s="57" t="str">
        <f>IFERROR(INDEX('Route Plan'!$G$5:$G$77,MATCH(G$4&amp;"|"&amp;$A6,'Route Plan'!$Z$5:$Z$77,0)),"")</f>
        <v>Barabanki</v>
      </c>
      <c r="H6" s="58" t="str">
        <f>IFERROR(INDEX('Route Plan'!$G$5:$G$77,MATCH(H$4&amp;"|"&amp;$A6,'Route Plan'!$Z$5:$Z$77,0)),"")</f>
        <v>Kanpur Nagar</v>
      </c>
      <c r="I6" s="33">
        <f t="shared" si="0"/>
        <v>4</v>
      </c>
      <c r="J6" s="33">
        <f t="shared" si="1"/>
        <v>4</v>
      </c>
    </row>
    <row r="7" spans="1:10" x14ac:dyDescent="0.2">
      <c r="A7" s="52">
        <f>'Friday Calendar'!A7</f>
        <v>46332</v>
      </c>
      <c r="B7" s="52" t="str">
        <f>IF('Friday Calendar'!N7="","—",'Friday Calendar'!N7)</f>
        <v>—</v>
      </c>
      <c r="C7" s="33" t="str">
        <f>'Friday Calendar'!M7</f>
        <v>SKIP – Fri &amp; Sat holiday</v>
      </c>
      <c r="D7" s="54" t="str">
        <f>IFERROR(INDEX('Route Plan'!$G$5:$G$77,MATCH(D$4&amp;"|"&amp;$A7,'Route Plan'!$Z$5:$Z$77,0)),"")</f>
        <v/>
      </c>
      <c r="E7" s="55" t="str">
        <f>IFERROR(INDEX('Route Plan'!$G$5:$G$77,MATCH(E$4&amp;"|"&amp;$A7,'Route Plan'!$Z$5:$Z$77,0)),"")</f>
        <v/>
      </c>
      <c r="F7" s="56" t="str">
        <f>IFERROR(INDEX('Route Plan'!$G$5:$G$77,MATCH(F$4&amp;"|"&amp;$A7,'Route Plan'!$Z$5:$Z$77,0)),"")</f>
        <v/>
      </c>
      <c r="G7" s="57" t="str">
        <f>IFERROR(INDEX('Route Plan'!$G$5:$G$77,MATCH(G$4&amp;"|"&amp;$A7,'Route Plan'!$Z$5:$Z$77,0)),"")</f>
        <v/>
      </c>
      <c r="H7" s="58" t="str">
        <f>IFERROR(INDEX('Route Plan'!$G$5:$G$77,MATCH(H$4&amp;"|"&amp;$A7,'Route Plan'!$Z$5:$Z$77,0)),"")</f>
        <v/>
      </c>
      <c r="I7" s="33">
        <f t="shared" si="0"/>
        <v>0</v>
      </c>
      <c r="J7" s="33">
        <f t="shared" si="1"/>
        <v>0</v>
      </c>
    </row>
    <row r="8" spans="1:10" x14ac:dyDescent="0.2">
      <c r="A8" s="52">
        <f>'Friday Calendar'!A8</f>
        <v>46339</v>
      </c>
      <c r="B8" s="52" t="str">
        <f>IF('Friday Calendar'!N8="","—",'Friday Calendar'!N8)</f>
        <v>—</v>
      </c>
      <c r="C8" s="33" t="str">
        <f>'Friday Calendar'!M8</f>
        <v>SKIP – Wed/Thu holiday</v>
      </c>
      <c r="D8" s="54" t="str">
        <f>IFERROR(INDEX('Route Plan'!$G$5:$G$77,MATCH(D$4&amp;"|"&amp;$A8,'Route Plan'!$Z$5:$Z$77,0)),"")</f>
        <v/>
      </c>
      <c r="E8" s="55" t="str">
        <f>IFERROR(INDEX('Route Plan'!$G$5:$G$77,MATCH(E$4&amp;"|"&amp;$A8,'Route Plan'!$Z$5:$Z$77,0)),"")</f>
        <v/>
      </c>
      <c r="F8" s="56" t="str">
        <f>IFERROR(INDEX('Route Plan'!$G$5:$G$77,MATCH(F$4&amp;"|"&amp;$A8,'Route Plan'!$Z$5:$Z$77,0)),"")</f>
        <v/>
      </c>
      <c r="G8" s="57" t="str">
        <f>IFERROR(INDEX('Route Plan'!$G$5:$G$77,MATCH(G$4&amp;"|"&amp;$A8,'Route Plan'!$Z$5:$Z$77,0)),"")</f>
        <v/>
      </c>
      <c r="H8" s="58" t="str">
        <f>IFERROR(INDEX('Route Plan'!$G$5:$G$77,MATCH(H$4&amp;"|"&amp;$A8,'Route Plan'!$Z$5:$Z$77,0)),"")</f>
        <v/>
      </c>
      <c r="I8" s="33">
        <f t="shared" si="0"/>
        <v>0</v>
      </c>
      <c r="J8" s="33">
        <f t="shared" si="1"/>
        <v>0</v>
      </c>
    </row>
    <row r="9" spans="1:10" x14ac:dyDescent="0.2">
      <c r="A9" s="52">
        <f>'Friday Calendar'!A9</f>
        <v>46346</v>
      </c>
      <c r="B9" s="52">
        <f>IF('Friday Calendar'!N9="","—",'Friday Calendar'!N9)</f>
        <v>46346</v>
      </c>
      <c r="C9" s="33" t="str">
        <f>'Friday Calendar'!M9</f>
        <v>YATRA DAY</v>
      </c>
      <c r="D9" s="54" t="str">
        <f>IFERROR(INDEX('Route Plan'!$G$5:$G$77,MATCH(D$4&amp;"|"&amp;$A9,'Route Plan'!$Z$5:$Z$77,0)),"")</f>
        <v/>
      </c>
      <c r="E9" s="55" t="str">
        <f>IFERROR(INDEX('Route Plan'!$G$5:$G$77,MATCH(E$4&amp;"|"&amp;$A9,'Route Plan'!$Z$5:$Z$77,0)),"")</f>
        <v>Shahjahanpur</v>
      </c>
      <c r="F9" s="56" t="str">
        <f>IFERROR(INDEX('Route Plan'!$G$5:$G$77,MATCH(F$4&amp;"|"&amp;$A9,'Route Plan'!$Z$5:$Z$77,0)),"")</f>
        <v>Basti</v>
      </c>
      <c r="G9" s="57" t="str">
        <f>IFERROR(INDEX('Route Plan'!$G$5:$G$77,MATCH(G$4&amp;"|"&amp;$A9,'Route Plan'!$Z$5:$Z$77,0)),"")</f>
        <v>Sitapur</v>
      </c>
      <c r="H9" s="58" t="str">
        <f>IFERROR(INDEX('Route Plan'!$G$5:$G$77,MATCH(H$4&amp;"|"&amp;$A9,'Route Plan'!$Z$5:$Z$77,0)),"")</f>
        <v>Fatehpur</v>
      </c>
      <c r="I9" s="33">
        <f t="shared" si="0"/>
        <v>4</v>
      </c>
      <c r="J9" s="33">
        <f t="shared" si="1"/>
        <v>4</v>
      </c>
    </row>
    <row r="10" spans="1:10" x14ac:dyDescent="0.2">
      <c r="A10" s="52">
        <f>'Friday Calendar'!A10</f>
        <v>46353</v>
      </c>
      <c r="B10" s="52">
        <f>IF('Friday Calendar'!N10="","—",'Friday Calendar'!N10)</f>
        <v>46353</v>
      </c>
      <c r="C10" s="33" t="str">
        <f>'Friday Calendar'!M10</f>
        <v>YATRA DAY</v>
      </c>
      <c r="D10" s="54" t="str">
        <f>IFERROR(INDEX('Route Plan'!$G$5:$G$77,MATCH(D$4&amp;"|"&amp;$A10,'Route Plan'!$Z$5:$Z$77,0)),"")</f>
        <v/>
      </c>
      <c r="E10" s="55" t="str">
        <f>IFERROR(INDEX('Route Plan'!$G$5:$G$77,MATCH(E$4&amp;"|"&amp;$A10,'Route Plan'!$Z$5:$Z$77,0)),"")</f>
        <v>Pilibhit</v>
      </c>
      <c r="F10" s="56" t="str">
        <f>IFERROR(INDEX('Route Plan'!$G$5:$G$77,MATCH(F$4&amp;"|"&amp;$A10,'Route Plan'!$Z$5:$Z$77,0)),"")</f>
        <v>Sant Kabir Nagar</v>
      </c>
      <c r="G10" s="57" t="str">
        <f>IFERROR(INDEX('Route Plan'!$G$5:$G$77,MATCH(G$4&amp;"|"&amp;$A10,'Route Plan'!$Z$5:$Z$77,0)),"")</f>
        <v>Lakhimpur Kheri</v>
      </c>
      <c r="H10" s="58" t="str">
        <f>IFERROR(INDEX('Route Plan'!$G$5:$G$77,MATCH(H$4&amp;"|"&amp;$A10,'Route Plan'!$Z$5:$Z$77,0)),"")</f>
        <v>Kanpur Dehat</v>
      </c>
      <c r="I10" s="33">
        <f t="shared" si="0"/>
        <v>4</v>
      </c>
      <c r="J10" s="33">
        <f t="shared" si="1"/>
        <v>4</v>
      </c>
    </row>
    <row r="11" spans="1:10" x14ac:dyDescent="0.2">
      <c r="A11" s="52">
        <f>'Friday Calendar'!A11</f>
        <v>46360</v>
      </c>
      <c r="B11" s="52">
        <f>IF('Friday Calendar'!N11="","—",'Friday Calendar'!N11)</f>
        <v>46360</v>
      </c>
      <c r="C11" s="33" t="str">
        <f>'Friday Calendar'!M11</f>
        <v>YATRA DAY</v>
      </c>
      <c r="D11" s="54" t="str">
        <f>IFERROR(INDEX('Route Plan'!$G$5:$G$77,MATCH(D$4&amp;"|"&amp;$A11,'Route Plan'!$Z$5:$Z$77,0)),"")</f>
        <v/>
      </c>
      <c r="E11" s="55" t="str">
        <f>IFERROR(INDEX('Route Plan'!$G$5:$G$77,MATCH(E$4&amp;"|"&amp;$A11,'Route Plan'!$Z$5:$Z$77,0)),"")</f>
        <v>Rampur</v>
      </c>
      <c r="F11" s="56" t="str">
        <f>IFERROR(INDEX('Route Plan'!$G$5:$G$77,MATCH(F$4&amp;"|"&amp;$A11,'Route Plan'!$Z$5:$Z$77,0)),"")</f>
        <v>Maharajganj</v>
      </c>
      <c r="G11" s="57" t="str">
        <f>IFERROR(INDEX('Route Plan'!$G$5:$G$77,MATCH(G$4&amp;"|"&amp;$A11,'Route Plan'!$Z$5:$Z$77,0)),"")</f>
        <v>Hardoi</v>
      </c>
      <c r="H11" s="58" t="str">
        <f>IFERROR(INDEX('Route Plan'!$G$5:$G$77,MATCH(H$4&amp;"|"&amp;$A11,'Route Plan'!$Z$5:$Z$77,0)),"")</f>
        <v>Etawah</v>
      </c>
      <c r="I11" s="33">
        <f t="shared" si="0"/>
        <v>4</v>
      </c>
      <c r="J11" s="33">
        <f t="shared" si="1"/>
        <v>4</v>
      </c>
    </row>
    <row r="12" spans="1:10" x14ac:dyDescent="0.2">
      <c r="A12" s="52">
        <f>'Friday Calendar'!A12</f>
        <v>46367</v>
      </c>
      <c r="B12" s="52">
        <f>IF('Friday Calendar'!N12="","—",'Friday Calendar'!N12)</f>
        <v>46367</v>
      </c>
      <c r="C12" s="33" t="str">
        <f>'Friday Calendar'!M12</f>
        <v>YATRA DAY</v>
      </c>
      <c r="D12" s="54" t="str">
        <f>IFERROR(INDEX('Route Plan'!$G$5:$G$77,MATCH(D$4&amp;"|"&amp;$A12,'Route Plan'!$Z$5:$Z$77,0)),"")</f>
        <v/>
      </c>
      <c r="E12" s="55" t="str">
        <f>IFERROR(INDEX('Route Plan'!$G$5:$G$77,MATCH(E$4&amp;"|"&amp;$A12,'Route Plan'!$Z$5:$Z$77,0)),"")</f>
        <v>Moradabad</v>
      </c>
      <c r="F12" s="56" t="str">
        <f>IFERROR(INDEX('Route Plan'!$G$5:$G$77,MATCH(F$4&amp;"|"&amp;$A12,'Route Plan'!$Z$5:$Z$77,0)),"")</f>
        <v>Kushi Nagar</v>
      </c>
      <c r="G12" s="57" t="str">
        <f>IFERROR(INDEX('Route Plan'!$G$5:$G$77,MATCH(G$4&amp;"|"&amp;$A12,'Route Plan'!$Z$5:$Z$77,0)),"")</f>
        <v>Unnao</v>
      </c>
      <c r="H12" s="58" t="str">
        <f>IFERROR(INDEX('Route Plan'!$G$5:$G$77,MATCH(H$4&amp;"|"&amp;$A12,'Route Plan'!$Z$5:$Z$77,0)),"")</f>
        <v>Farrukhabad Cluster</v>
      </c>
      <c r="I12" s="33">
        <f t="shared" si="0"/>
        <v>4</v>
      </c>
      <c r="J12" s="33">
        <f t="shared" si="1"/>
        <v>4</v>
      </c>
    </row>
    <row r="13" spans="1:10" x14ac:dyDescent="0.2">
      <c r="A13" s="52">
        <f>'Friday Calendar'!A13</f>
        <v>46374</v>
      </c>
      <c r="B13" s="52">
        <f>IF('Friday Calendar'!N13="","—",'Friday Calendar'!N13)</f>
        <v>46374</v>
      </c>
      <c r="C13" s="33" t="str">
        <f>'Friday Calendar'!M13</f>
        <v>YATRA DAY</v>
      </c>
      <c r="D13" s="54" t="str">
        <f>IFERROR(INDEX('Route Plan'!$G$5:$G$77,MATCH(D$4&amp;"|"&amp;$A13,'Route Plan'!$Z$5:$Z$77,0)),"")</f>
        <v/>
      </c>
      <c r="E13" s="55" t="str">
        <f>IFERROR(INDEX('Route Plan'!$G$5:$G$77,MATCH(E$4&amp;"|"&amp;$A13,'Route Plan'!$Z$5:$Z$77,0)),"")</f>
        <v>RESERVE SLOT</v>
      </c>
      <c r="F13" s="56" t="str">
        <f>IFERROR(INDEX('Route Plan'!$G$5:$G$77,MATCH(F$4&amp;"|"&amp;$A13,'Route Plan'!$Z$5:$Z$77,0)),"")</f>
        <v>RESERVE SLOT</v>
      </c>
      <c r="G13" s="57" t="str">
        <f>IFERROR(INDEX('Route Plan'!$G$5:$G$77,MATCH(G$4&amp;"|"&amp;$A13,'Route Plan'!$Z$5:$Z$77,0)),"")</f>
        <v>RESERVE SLOT</v>
      </c>
      <c r="H13" s="58" t="str">
        <f>IFERROR(INDEX('Route Plan'!$G$5:$G$77,MATCH(H$4&amp;"|"&amp;$A13,'Route Plan'!$Z$5:$Z$77,0)),"")</f>
        <v>RESERVE SLOT</v>
      </c>
      <c r="I13" s="33">
        <f t="shared" si="0"/>
        <v>0</v>
      </c>
      <c r="J13" s="33">
        <f t="shared" si="1"/>
        <v>0</v>
      </c>
    </row>
    <row r="14" spans="1:10" x14ac:dyDescent="0.2">
      <c r="A14" s="52">
        <f>'Friday Calendar'!A14</f>
        <v>46381</v>
      </c>
      <c r="B14" s="52" t="str">
        <f>IF('Friday Calendar'!N14="","—",'Friday Calendar'!N14)</f>
        <v>—</v>
      </c>
      <c r="C14" s="33" t="str">
        <f>'Friday Calendar'!M14</f>
        <v>SKIP – Wed/Thu holiday</v>
      </c>
      <c r="D14" s="54" t="str">
        <f>IFERROR(INDEX('Route Plan'!$G$5:$G$77,MATCH(D$4&amp;"|"&amp;$A14,'Route Plan'!$Z$5:$Z$77,0)),"")</f>
        <v/>
      </c>
      <c r="E14" s="55" t="str">
        <f>IFERROR(INDEX('Route Plan'!$G$5:$G$77,MATCH(E$4&amp;"|"&amp;$A14,'Route Plan'!$Z$5:$Z$77,0)),"")</f>
        <v/>
      </c>
      <c r="F14" s="56" t="str">
        <f>IFERROR(INDEX('Route Plan'!$G$5:$G$77,MATCH(F$4&amp;"|"&amp;$A14,'Route Plan'!$Z$5:$Z$77,0)),"")</f>
        <v/>
      </c>
      <c r="G14" s="57" t="str">
        <f>IFERROR(INDEX('Route Plan'!$G$5:$G$77,MATCH(G$4&amp;"|"&amp;$A14,'Route Plan'!$Z$5:$Z$77,0)),"")</f>
        <v/>
      </c>
      <c r="H14" s="58" t="str">
        <f>IFERROR(INDEX('Route Plan'!$G$5:$G$77,MATCH(H$4&amp;"|"&amp;$A14,'Route Plan'!$Z$5:$Z$77,0)),"")</f>
        <v/>
      </c>
      <c r="I14" s="33">
        <f t="shared" si="0"/>
        <v>0</v>
      </c>
      <c r="J14" s="33">
        <f t="shared" si="1"/>
        <v>0</v>
      </c>
    </row>
    <row r="15" spans="1:10" ht="28" x14ac:dyDescent="0.2">
      <c r="A15" s="52">
        <f>'Friday Calendar'!A15</f>
        <v>46388</v>
      </c>
      <c r="B15" s="52" t="str">
        <f>IF('Friday Calendar'!N15="","—",'Friday Calendar'!N15)</f>
        <v>—</v>
      </c>
      <c r="C15" s="33" t="str">
        <f>'Friday Calendar'!M15</f>
        <v>SKIP – year-end break (19 Dec–3 Jan)</v>
      </c>
      <c r="D15" s="54" t="str">
        <f>IFERROR(INDEX('Route Plan'!$G$5:$G$77,MATCH(D$4&amp;"|"&amp;$A15,'Route Plan'!$Z$5:$Z$77,0)),"")</f>
        <v/>
      </c>
      <c r="E15" s="55" t="str">
        <f>IFERROR(INDEX('Route Plan'!$G$5:$G$77,MATCH(E$4&amp;"|"&amp;$A15,'Route Plan'!$Z$5:$Z$77,0)),"")</f>
        <v/>
      </c>
      <c r="F15" s="56" t="str">
        <f>IFERROR(INDEX('Route Plan'!$G$5:$G$77,MATCH(F$4&amp;"|"&amp;$A15,'Route Plan'!$Z$5:$Z$77,0)),"")</f>
        <v/>
      </c>
      <c r="G15" s="57" t="str">
        <f>IFERROR(INDEX('Route Plan'!$G$5:$G$77,MATCH(G$4&amp;"|"&amp;$A15,'Route Plan'!$Z$5:$Z$77,0)),"")</f>
        <v/>
      </c>
      <c r="H15" s="58" t="str">
        <f>IFERROR(INDEX('Route Plan'!$G$5:$G$77,MATCH(H$4&amp;"|"&amp;$A15,'Route Plan'!$Z$5:$Z$77,0)),"")</f>
        <v/>
      </c>
      <c r="I15" s="33">
        <f t="shared" si="0"/>
        <v>0</v>
      </c>
      <c r="J15" s="33">
        <f t="shared" si="1"/>
        <v>0</v>
      </c>
    </row>
    <row r="16" spans="1:10" x14ac:dyDescent="0.2">
      <c r="A16" s="52">
        <f>'Friday Calendar'!A16</f>
        <v>46395</v>
      </c>
      <c r="B16" s="52">
        <f>IF('Friday Calendar'!N16="","—",'Friday Calendar'!N16)</f>
        <v>46395</v>
      </c>
      <c r="C16" s="33" t="str">
        <f>'Friday Calendar'!M16</f>
        <v>YATRA DAY</v>
      </c>
      <c r="D16" s="54" t="str">
        <f>IFERROR(INDEX('Route Plan'!$G$5:$G$77,MATCH(D$4&amp;"|"&amp;$A16,'Route Plan'!$Z$5:$Z$77,0)),"")</f>
        <v/>
      </c>
      <c r="E16" s="55" t="str">
        <f>IFERROR(INDEX('Route Plan'!$G$5:$G$77,MATCH(E$4&amp;"|"&amp;$A16,'Route Plan'!$Z$5:$Z$77,0)),"")</f>
        <v>Saharanpur</v>
      </c>
      <c r="F16" s="56" t="str">
        <f>IFERROR(INDEX('Route Plan'!$G$5:$G$77,MATCH(F$4&amp;"|"&amp;$A16,'Route Plan'!$Z$5:$Z$77,0)),"")</f>
        <v>Siddharth Nagar</v>
      </c>
      <c r="G16" s="57" t="str">
        <f>IFERROR(INDEX('Route Plan'!$G$5:$G$77,MATCH(G$4&amp;"|"&amp;$A16,'Route Plan'!$Z$5:$Z$77,0)),"")</f>
        <v>Amethi</v>
      </c>
      <c r="H16" s="58" t="str">
        <f>IFERROR(INDEX('Route Plan'!$G$5:$G$77,MATCH(H$4&amp;"|"&amp;$A16,'Route Plan'!$Z$5:$Z$77,0)),"")</f>
        <v>Mainpuri</v>
      </c>
      <c r="I16" s="33">
        <f t="shared" si="0"/>
        <v>4</v>
      </c>
      <c r="J16" s="33">
        <f t="shared" si="1"/>
        <v>4</v>
      </c>
    </row>
    <row r="17" spans="1:10" x14ac:dyDescent="0.2">
      <c r="A17" s="52">
        <f>'Friday Calendar'!A17</f>
        <v>46402</v>
      </c>
      <c r="B17" s="52">
        <f>IF('Friday Calendar'!N17="","—",'Friday Calendar'!N17)</f>
        <v>46402</v>
      </c>
      <c r="C17" s="33" t="str">
        <f>'Friday Calendar'!M17</f>
        <v>YATRA DAY – CAUTION</v>
      </c>
      <c r="D17" s="54" t="str">
        <f>IFERROR(INDEX('Route Plan'!$G$5:$G$77,MATCH(D$4&amp;"|"&amp;$A17,'Route Plan'!$Z$5:$Z$77,0)),"")</f>
        <v/>
      </c>
      <c r="E17" s="55" t="str">
        <f>IFERROR(INDEX('Route Plan'!$G$5:$G$77,MATCH(E$4&amp;"|"&amp;$A17,'Route Plan'!$Z$5:$Z$77,0)),"")</f>
        <v>Muzaffarnagar</v>
      </c>
      <c r="F17" s="56" t="str">
        <f>IFERROR(INDEX('Route Plan'!$G$5:$G$77,MATCH(F$4&amp;"|"&amp;$A17,'Route Plan'!$Z$5:$Z$77,0)),"")</f>
        <v>Balrampur Cluster</v>
      </c>
      <c r="G17" s="57" t="str">
        <f>IFERROR(INDEX('Route Plan'!$G$5:$G$77,MATCH(G$4&amp;"|"&amp;$A17,'Route Plan'!$Z$5:$Z$77,0)),"")</f>
        <v>Sultanpur</v>
      </c>
      <c r="H17" s="58" t="str">
        <f>IFERROR(INDEX('Route Plan'!$G$5:$G$77,MATCH(H$4&amp;"|"&amp;$A17,'Route Plan'!$Z$5:$Z$77,0)),"")</f>
        <v>Firozabad</v>
      </c>
      <c r="I17" s="33">
        <f t="shared" si="0"/>
        <v>4</v>
      </c>
      <c r="J17" s="33">
        <f t="shared" si="1"/>
        <v>4</v>
      </c>
    </row>
    <row r="18" spans="1:10" x14ac:dyDescent="0.2">
      <c r="A18" s="52">
        <f>'Friday Calendar'!A18</f>
        <v>46409</v>
      </c>
      <c r="B18" s="52">
        <f>IF('Friday Calendar'!N18="","—",'Friday Calendar'!N18)</f>
        <v>46409</v>
      </c>
      <c r="C18" s="33" t="str">
        <f>'Friday Calendar'!M18</f>
        <v>YATRA DAY</v>
      </c>
      <c r="D18" s="54" t="str">
        <f>IFERROR(INDEX('Route Plan'!$G$5:$G$77,MATCH(D$4&amp;"|"&amp;$A18,'Route Plan'!$Z$5:$Z$77,0)),"")</f>
        <v/>
      </c>
      <c r="E18" s="55" t="str">
        <f>IFERROR(INDEX('Route Plan'!$G$5:$G$77,MATCH(E$4&amp;"|"&amp;$A18,'Route Plan'!$Z$5:$Z$77,0)),"")</f>
        <v>Shamli</v>
      </c>
      <c r="F18" s="56" t="str">
        <f>IFERROR(INDEX('Route Plan'!$G$5:$G$77,MATCH(F$4&amp;"|"&amp;$A18,'Route Plan'!$Z$5:$Z$77,0)),"")</f>
        <v>Bahraich</v>
      </c>
      <c r="G18" s="57" t="str">
        <f>IFERROR(INDEX('Route Plan'!$G$5:$G$77,MATCH(G$4&amp;"|"&amp;$A18,'Route Plan'!$Z$5:$Z$77,0)),"")</f>
        <v>Ambedkar Nagar</v>
      </c>
      <c r="H18" s="58" t="str">
        <f>IFERROR(INDEX('Route Plan'!$G$5:$G$77,MATCH(H$4&amp;"|"&amp;$A18,'Route Plan'!$Z$5:$Z$77,0)),"")</f>
        <v>Agra</v>
      </c>
      <c r="I18" s="33">
        <f t="shared" si="0"/>
        <v>4</v>
      </c>
      <c r="J18" s="33">
        <f t="shared" si="1"/>
        <v>4</v>
      </c>
    </row>
    <row r="19" spans="1:10" x14ac:dyDescent="0.2">
      <c r="A19" s="52">
        <f>'Friday Calendar'!A19</f>
        <v>46416</v>
      </c>
      <c r="B19" s="52">
        <f>IF('Friday Calendar'!N19="","—",'Friday Calendar'!N19)</f>
        <v>46416</v>
      </c>
      <c r="C19" s="33" t="str">
        <f>'Friday Calendar'!M19</f>
        <v>YATRA DAY</v>
      </c>
      <c r="D19" s="54" t="str">
        <f>IFERROR(INDEX('Route Plan'!$G$5:$G$77,MATCH(D$4&amp;"|"&amp;$A19,'Route Plan'!$Z$5:$Z$77,0)),"")</f>
        <v/>
      </c>
      <c r="E19" s="55" t="str">
        <f>IFERROR(INDEX('Route Plan'!$G$5:$G$77,MATCH(E$4&amp;"|"&amp;$A19,'Route Plan'!$Z$5:$Z$77,0)),"")</f>
        <v>Baghpat</v>
      </c>
      <c r="F19" s="56" t="str">
        <f>IFERROR(INDEX('Route Plan'!$G$5:$G$77,MATCH(F$4&amp;"|"&amp;$A19,'Route Plan'!$Z$5:$Z$77,0)),"")</f>
        <v>Gonda</v>
      </c>
      <c r="G19" s="57" t="str">
        <f>IFERROR(INDEX('Route Plan'!$G$5:$G$77,MATCH(G$4&amp;"|"&amp;$A19,'Route Plan'!$Z$5:$Z$77,0)),"")</f>
        <v>Ayodhya</v>
      </c>
      <c r="H19" s="58" t="str">
        <f>IFERROR(INDEX('Route Plan'!$G$5:$G$77,MATCH(H$4&amp;"|"&amp;$A19,'Route Plan'!$Z$5:$Z$77,0)),"")</f>
        <v>Mathura</v>
      </c>
      <c r="I19" s="33">
        <f t="shared" si="0"/>
        <v>4</v>
      </c>
      <c r="J19" s="33">
        <f t="shared" si="1"/>
        <v>4</v>
      </c>
    </row>
    <row r="20" spans="1:10" x14ac:dyDescent="0.2">
      <c r="A20" s="52">
        <f>'Friday Calendar'!A20</f>
        <v>46423</v>
      </c>
      <c r="B20" s="52">
        <f>IF('Friday Calendar'!N20="","—",'Friday Calendar'!N20)</f>
        <v>46423</v>
      </c>
      <c r="C20" s="33" t="str">
        <f>'Friday Calendar'!M20</f>
        <v>YATRA DAY</v>
      </c>
      <c r="D20" s="54" t="str">
        <f>IFERROR(INDEX('Route Plan'!$G$5:$G$77,MATCH(D$4&amp;"|"&amp;$A20,'Route Plan'!$Z$5:$Z$77,0)),"")</f>
        <v/>
      </c>
      <c r="E20" s="55" t="str">
        <f>IFERROR(INDEX('Route Plan'!$G$5:$G$77,MATCH(E$4&amp;"|"&amp;$A20,'Route Plan'!$Z$5:$Z$77,0)),"")</f>
        <v>Meerut</v>
      </c>
      <c r="F20" s="56" t="str">
        <f>IFERROR(INDEX('Route Plan'!$G$5:$G$77,MATCH(F$4&amp;"|"&amp;$A20,'Route Plan'!$Z$5:$Z$77,0)),"")</f>
        <v>Deoria</v>
      </c>
      <c r="G20" s="57" t="str">
        <f>IFERROR(INDEX('Route Plan'!$G$5:$G$77,MATCH(G$4&amp;"|"&amp;$A20,'Route Plan'!$Z$5:$Z$77,0)),"")</f>
        <v>Jaunpur</v>
      </c>
      <c r="H20" s="58" t="str">
        <f>IFERROR(INDEX('Route Plan'!$G$5:$G$77,MATCH(H$4&amp;"|"&amp;$A20,'Route Plan'!$Z$5:$Z$77,0)),"")</f>
        <v>Aligarh</v>
      </c>
      <c r="I20" s="33">
        <f t="shared" si="0"/>
        <v>4</v>
      </c>
      <c r="J20" s="33">
        <f t="shared" si="1"/>
        <v>4</v>
      </c>
    </row>
    <row r="21" spans="1:10" x14ac:dyDescent="0.2">
      <c r="A21" s="52">
        <f>'Friday Calendar'!A21</f>
        <v>46430</v>
      </c>
      <c r="B21" s="52">
        <f>IF('Friday Calendar'!N21="","—",'Friday Calendar'!N21)</f>
        <v>46430</v>
      </c>
      <c r="C21" s="33" t="str">
        <f>'Friday Calendar'!M21</f>
        <v>YATRA DAY – CAUTION</v>
      </c>
      <c r="D21" s="54" t="str">
        <f>IFERROR(INDEX('Route Plan'!$G$5:$G$77,MATCH(D$4&amp;"|"&amp;$A21,'Route Plan'!$Z$5:$Z$77,0)),"")</f>
        <v/>
      </c>
      <c r="E21" s="55" t="str">
        <f>IFERROR(INDEX('Route Plan'!$G$5:$G$77,MATCH(E$4&amp;"|"&amp;$A21,'Route Plan'!$Z$5:$Z$77,0)),"")</f>
        <v>Hapur</v>
      </c>
      <c r="F21" s="56" t="str">
        <f>IFERROR(INDEX('Route Plan'!$G$5:$G$77,MATCH(F$4&amp;"|"&amp;$A21,'Route Plan'!$Z$5:$Z$77,0)),"")</f>
        <v>Ballia</v>
      </c>
      <c r="G21" s="57" t="str">
        <f>IFERROR(INDEX('Route Plan'!$G$5:$G$77,MATCH(G$4&amp;"|"&amp;$A21,'Route Plan'!$Z$5:$Z$77,0)),"")</f>
        <v>Bhadohi</v>
      </c>
      <c r="H21" s="58" t="str">
        <f>IFERROR(INDEX('Route Plan'!$G$5:$G$77,MATCH(H$4&amp;"|"&amp;$A21,'Route Plan'!$Z$5:$Z$77,0)),"")</f>
        <v>Hathras Cluster</v>
      </c>
      <c r="I21" s="33">
        <f t="shared" si="0"/>
        <v>4</v>
      </c>
      <c r="J21" s="33">
        <f t="shared" si="1"/>
        <v>4</v>
      </c>
    </row>
    <row r="22" spans="1:10" x14ac:dyDescent="0.2">
      <c r="A22" s="52">
        <f>'Friday Calendar'!A22</f>
        <v>46437</v>
      </c>
      <c r="B22" s="52">
        <f>IF('Friday Calendar'!N22="","—",'Friday Calendar'!N22)</f>
        <v>46437</v>
      </c>
      <c r="C22" s="33" t="str">
        <f>'Friday Calendar'!M22</f>
        <v>YATRA DAY</v>
      </c>
      <c r="D22" s="54" t="str">
        <f>IFERROR(INDEX('Route Plan'!$G$5:$G$77,MATCH(D$4&amp;"|"&amp;$A22,'Route Plan'!$Z$5:$Z$77,0)),"")</f>
        <v/>
      </c>
      <c r="E22" s="55" t="str">
        <f>IFERROR(INDEX('Route Plan'!$G$5:$G$77,MATCH(E$4&amp;"|"&amp;$A22,'Route Plan'!$Z$5:$Z$77,0)),"")</f>
        <v>Ghaziabad</v>
      </c>
      <c r="F22" s="56" t="str">
        <f>IFERROR(INDEX('Route Plan'!$G$5:$G$77,MATCH(F$4&amp;"|"&amp;$A22,'Route Plan'!$Z$5:$Z$77,0)),"")</f>
        <v>Mau</v>
      </c>
      <c r="G22" s="57" t="str">
        <f>IFERROR(INDEX('Route Plan'!$G$5:$G$77,MATCH(G$4&amp;"|"&amp;$A22,'Route Plan'!$Z$5:$Z$77,0)),"")</f>
        <v>Mirzapur</v>
      </c>
      <c r="H22" s="58" t="str">
        <f>IFERROR(INDEX('Route Plan'!$G$5:$G$77,MATCH(H$4&amp;"|"&amp;$A22,'Route Plan'!$Z$5:$Z$77,0)),"")</f>
        <v>Bulandshahar</v>
      </c>
      <c r="I22" s="33">
        <f t="shared" si="0"/>
        <v>4</v>
      </c>
      <c r="J22" s="33">
        <f t="shared" si="1"/>
        <v>4</v>
      </c>
    </row>
    <row r="23" spans="1:10" x14ac:dyDescent="0.2">
      <c r="A23" s="52">
        <f>'Friday Calendar'!A23</f>
        <v>46444</v>
      </c>
      <c r="B23" s="52">
        <f>IF('Friday Calendar'!N23="","—",'Friday Calendar'!N23)</f>
        <v>46444</v>
      </c>
      <c r="C23" s="33" t="str">
        <f>'Friday Calendar'!M23</f>
        <v>YATRA DAY</v>
      </c>
      <c r="D23" s="54" t="str">
        <f>IFERROR(INDEX('Route Plan'!$G$5:$G$77,MATCH(D$4&amp;"|"&amp;$A23,'Route Plan'!$Z$5:$Z$77,0)),"")</f>
        <v/>
      </c>
      <c r="E23" s="55" t="str">
        <f>IFERROR(INDEX('Route Plan'!$G$5:$G$77,MATCH(E$4&amp;"|"&amp;$A23,'Route Plan'!$Z$5:$Z$77,0)),"")</f>
        <v>Gautam Buddha Nagar</v>
      </c>
      <c r="F23" s="56" t="str">
        <f>IFERROR(INDEX('Route Plan'!$G$5:$G$77,MATCH(F$4&amp;"|"&amp;$A23,'Route Plan'!$Z$5:$Z$77,0)),"")</f>
        <v>Azamgarh</v>
      </c>
      <c r="G23" s="57" t="str">
        <f>IFERROR(INDEX('Route Plan'!$G$5:$G$77,MATCH(G$4&amp;"|"&amp;$A23,'Route Plan'!$Z$5:$Z$77,0)),"")</f>
        <v>Sonbhadra</v>
      </c>
      <c r="H23" s="58" t="str">
        <f>IFERROR(INDEX('Route Plan'!$G$5:$G$77,MATCH(H$4&amp;"|"&amp;$A23,'Route Plan'!$Z$5:$Z$77,0)),"")</f>
        <v>RESERVE SLOT</v>
      </c>
      <c r="I23" s="33">
        <f t="shared" si="0"/>
        <v>3</v>
      </c>
      <c r="J23" s="33">
        <f t="shared" si="1"/>
        <v>3</v>
      </c>
    </row>
    <row r="24" spans="1:10" x14ac:dyDescent="0.2">
      <c r="A24" s="52">
        <f>'Friday Calendar'!A24</f>
        <v>46451</v>
      </c>
      <c r="B24" s="52">
        <f>IF('Friday Calendar'!N24="","—",'Friday Calendar'!N24)</f>
        <v>46451</v>
      </c>
      <c r="C24" s="33" t="str">
        <f>'Friday Calendar'!M24</f>
        <v>YATRA DAY</v>
      </c>
      <c r="D24" s="54" t="str">
        <f>IFERROR(INDEX('Route Plan'!$G$5:$G$77,MATCH(D$4&amp;"|"&amp;$A24,'Route Plan'!$Z$5:$Z$77,0)),"")</f>
        <v/>
      </c>
      <c r="E24" s="55" t="str">
        <f>IFERROR(INDEX('Route Plan'!$G$5:$G$77,MATCH(E$4&amp;"|"&amp;$A24,'Route Plan'!$Z$5:$Z$77,0)),"")</f>
        <v>Bijnor</v>
      </c>
      <c r="F24" s="56" t="str">
        <f>IFERROR(INDEX('Route Plan'!$G$5:$G$77,MATCH(F$4&amp;"|"&amp;$A24,'Route Plan'!$Z$5:$Z$77,0)),"")</f>
        <v>Ghazipur</v>
      </c>
      <c r="G24" s="57" t="str">
        <f>IFERROR(INDEX('Route Plan'!$G$5:$G$77,MATCH(G$4&amp;"|"&amp;$A24,'Route Plan'!$Z$5:$Z$77,0)),"")</f>
        <v>Pratapgarh Cluster</v>
      </c>
      <c r="H24" s="58" t="str">
        <f>IFERROR(INDEX('Route Plan'!$G$5:$G$77,MATCH(H$4&amp;"|"&amp;$A24,'Route Plan'!$Z$5:$Z$77,0)),"")</f>
        <v>Jhansi</v>
      </c>
      <c r="I24" s="33">
        <f t="shared" si="0"/>
        <v>4</v>
      </c>
      <c r="J24" s="33">
        <f t="shared" si="1"/>
        <v>4</v>
      </c>
    </row>
    <row r="25" spans="1:10" x14ac:dyDescent="0.2">
      <c r="A25" s="52">
        <f>'Friday Calendar'!A25</f>
        <v>46458</v>
      </c>
      <c r="B25" s="52">
        <f>IF('Friday Calendar'!N25="","—",'Friday Calendar'!N25)</f>
        <v>46458</v>
      </c>
      <c r="C25" s="33" t="str">
        <f>'Friday Calendar'!M25</f>
        <v>YATRA DAY</v>
      </c>
      <c r="D25" s="54" t="str">
        <f>IFERROR(INDEX('Route Plan'!$G$5:$G$77,MATCH(D$4&amp;"|"&amp;$A25,'Route Plan'!$Z$5:$Z$77,0)),"")</f>
        <v/>
      </c>
      <c r="E25" s="55" t="str">
        <f>IFERROR(INDEX('Route Plan'!$G$5:$G$77,MATCH(E$4&amp;"|"&amp;$A25,'Route Plan'!$Z$5:$Z$77,0)),"")</f>
        <v>Amroha</v>
      </c>
      <c r="F25" s="56" t="str">
        <f>IFERROR(INDEX('Route Plan'!$G$5:$G$77,MATCH(F$4&amp;"|"&amp;$A25,'Route Plan'!$Z$5:$Z$77,0)),"")</f>
        <v>Chandauli</v>
      </c>
      <c r="G25" s="57" t="str">
        <f>IFERROR(INDEX('Route Plan'!$G$5:$G$77,MATCH(G$4&amp;"|"&amp;$A25,'Route Plan'!$Z$5:$Z$77,0)),"")</f>
        <v>Prayagraj</v>
      </c>
      <c r="H25" s="58" t="str">
        <f>IFERROR(INDEX('Route Plan'!$G$5:$G$77,MATCH(H$4&amp;"|"&amp;$A25,'Route Plan'!$Z$5:$Z$77,0)),"")</f>
        <v>Orai (Jalaun) Cluster</v>
      </c>
      <c r="I25" s="33">
        <f t="shared" si="0"/>
        <v>4</v>
      </c>
      <c r="J25" s="33">
        <f t="shared" si="1"/>
        <v>4</v>
      </c>
    </row>
    <row r="26" spans="1:10" x14ac:dyDescent="0.2">
      <c r="A26" s="52">
        <f>'Friday Calendar'!A26</f>
        <v>46465</v>
      </c>
      <c r="B26" s="52">
        <f>IF('Friday Calendar'!N26="","—",'Friday Calendar'!N26)</f>
        <v>46465</v>
      </c>
      <c r="C26" s="33" t="str">
        <f>'Friday Calendar'!M26</f>
        <v>YATRA DAY</v>
      </c>
      <c r="D26" s="54" t="str">
        <f>IFERROR(INDEX('Route Plan'!$G$5:$G$77,MATCH(D$4&amp;"|"&amp;$A26,'Route Plan'!$Z$5:$Z$77,0)),"")</f>
        <v/>
      </c>
      <c r="E26" s="55" t="str">
        <f>IFERROR(INDEX('Route Plan'!$G$5:$G$77,MATCH(E$4&amp;"|"&amp;$A26,'Route Plan'!$Z$5:$Z$77,0)),"")</f>
        <v>Budaun Cluster</v>
      </c>
      <c r="F26" s="56" t="str">
        <f>IFERROR(INDEX('Route Plan'!$G$5:$G$77,MATCH(F$4&amp;"|"&amp;$A26,'Route Plan'!$Z$5:$Z$77,0)),"")</f>
        <v>Varanasi</v>
      </c>
      <c r="G26" s="57" t="str">
        <f>IFERROR(INDEX('Route Plan'!$G$5:$G$77,MATCH(G$4&amp;"|"&amp;$A26,'Route Plan'!$Z$5:$Z$77,0)),"")</f>
        <v>RESERVE SLOT</v>
      </c>
      <c r="H26" s="58" t="str">
        <f>IFERROR(INDEX('Route Plan'!$G$5:$G$77,MATCH(H$4&amp;"|"&amp;$A26,'Route Plan'!$Z$5:$Z$77,0)),"")</f>
        <v>Banda Cluster</v>
      </c>
      <c r="I26" s="33">
        <f t="shared" si="0"/>
        <v>3</v>
      </c>
      <c r="J26" s="33">
        <f t="shared" si="1"/>
        <v>3</v>
      </c>
    </row>
    <row r="27" spans="1:10" x14ac:dyDescent="0.2">
      <c r="A27" s="52">
        <f>'Friday Calendar'!A27</f>
        <v>46472</v>
      </c>
      <c r="B27" s="52">
        <f>IF('Friday Calendar'!N27="","—",'Friday Calendar'!N27)</f>
        <v>46473</v>
      </c>
      <c r="C27" s="33" t="str">
        <f>'Friday Calendar'!M27</f>
        <v>SATURDAY (Fri holiday)</v>
      </c>
      <c r="D27" s="54" t="str">
        <f>IFERROR(INDEX('Route Plan'!$G$5:$G$77,MATCH(D$4&amp;"|"&amp;$A27,'Route Plan'!$Z$5:$Z$77,0)),"")</f>
        <v/>
      </c>
      <c r="E27" s="55" t="str">
        <f>IFERROR(INDEX('Route Plan'!$G$5:$G$77,MATCH(E$4&amp;"|"&amp;$A27,'Route Plan'!$Z$5:$Z$77,0)),"")</f>
        <v>RESERVE SLOT</v>
      </c>
      <c r="F27" s="56" t="str">
        <f>IFERROR(INDEX('Route Plan'!$G$5:$G$77,MATCH(F$4&amp;"|"&amp;$A27,'Route Plan'!$Z$5:$Z$77,0)),"")</f>
        <v>RESERVE SLOT</v>
      </c>
      <c r="G27" s="57" t="str">
        <f>IFERROR(INDEX('Route Plan'!$G$5:$G$77,MATCH(G$4&amp;"|"&amp;$A27,'Route Plan'!$Z$5:$Z$77,0)),"")</f>
        <v>RESERVE SLOT</v>
      </c>
      <c r="H27" s="58" t="str">
        <f>IFERROR(INDEX('Route Plan'!$G$5:$G$77,MATCH(H$4&amp;"|"&amp;$A27,'Route Plan'!$Z$5:$Z$77,0)),"")</f>
        <v>RESERVE SLOT</v>
      </c>
      <c r="I27" s="33">
        <f t="shared" si="0"/>
        <v>0</v>
      </c>
      <c r="J27" s="33">
        <f t="shared" si="1"/>
        <v>0</v>
      </c>
    </row>
    <row r="28" spans="1:10" x14ac:dyDescent="0.2">
      <c r="A28" s="52">
        <f>'Friday Calendar'!A28</f>
        <v>46479</v>
      </c>
      <c r="B28" s="52">
        <f>IF('Friday Calendar'!N28="","—",'Friday Calendar'!N28)</f>
        <v>46479</v>
      </c>
      <c r="C28" s="33" t="str">
        <f>'Friday Calendar'!M28</f>
        <v>YATRA DAY</v>
      </c>
      <c r="D28" s="54" t="str">
        <f>IFERROR(INDEX('Route Plan'!$G$5:$G$77,MATCH(D$4&amp;"|"&amp;$A28,'Route Plan'!$Z$5:$Z$77,0)),"")</f>
        <v/>
      </c>
      <c r="E28" s="55" t="str">
        <f>IFERROR(INDEX('Route Plan'!$G$5:$G$77,MATCH(E$4&amp;"|"&amp;$A28,'Route Plan'!$Z$5:$Z$77,0)),"")</f>
        <v/>
      </c>
      <c r="F28" s="56" t="str">
        <f>IFERROR(INDEX('Route Plan'!$G$5:$G$77,MATCH(F$4&amp;"|"&amp;$A28,'Route Plan'!$Z$5:$Z$77,0)),"")</f>
        <v/>
      </c>
      <c r="G28" s="57" t="str">
        <f>IFERROR(INDEX('Route Plan'!$G$5:$G$77,MATCH(G$4&amp;"|"&amp;$A28,'Route Plan'!$Z$5:$Z$77,0)),"")</f>
        <v/>
      </c>
      <c r="H28" s="58" t="str">
        <f>IFERROR(INDEX('Route Plan'!$G$5:$G$77,MATCH(H$4&amp;"|"&amp;$A28,'Route Plan'!$Z$5:$Z$77,0)),"")</f>
        <v/>
      </c>
      <c r="I28" s="33">
        <f t="shared" si="0"/>
        <v>0</v>
      </c>
      <c r="J28" s="33">
        <f t="shared" si="1"/>
        <v>0</v>
      </c>
    </row>
    <row r="29" spans="1:10" x14ac:dyDescent="0.2">
      <c r="A29" s="51" t="s">
        <v>25</v>
      </c>
      <c r="D29" s="59">
        <f>COUNTIF(D5:D28,"?*")-COUNTIF(D5:D28,"RESERVE SLOT")</f>
        <v>1</v>
      </c>
      <c r="E29" s="59">
        <f>COUNTIF(E5:E28,"?*")-COUNTIF(E5:E28,"RESERVE SLOT")</f>
        <v>16</v>
      </c>
      <c r="F29" s="59">
        <f>COUNTIF(F5:F28,"?*")-COUNTIF(F5:F28,"RESERVE SLOT")</f>
        <v>16</v>
      </c>
      <c r="G29" s="59">
        <f>COUNTIF(G5:G28,"?*")-COUNTIF(G5:G28,"RESERVE SLOT")</f>
        <v>15</v>
      </c>
      <c r="H29" s="59">
        <f>COUNTIF(H5:H28,"?*")-COUNTIF(H5:H28,"RESERVE SLOT")</f>
        <v>15</v>
      </c>
      <c r="I29" s="59">
        <f>SUM(I5:I28)</f>
        <v>63</v>
      </c>
      <c r="J29" s="59">
        <f>SUM(J5:J28)</f>
        <v>63</v>
      </c>
    </row>
  </sheetData>
  <conditionalFormatting sqref="C5:C28">
    <cfRule type="expression" dxfId="1" priority="2">
      <formula>LEFT(C5,4)="SKIP"</formula>
    </cfRule>
    <cfRule type="expression" dxfId="0" priority="3">
      <formula>LEFT(C5,8)="SATURDAY"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5"/>
  <sheetViews>
    <sheetView showGridLines="0" zoomScaleNormal="100" workbookViewId="0"/>
  </sheetViews>
  <sheetFormatPr baseColWidth="10" defaultColWidth="8.6640625" defaultRowHeight="15" x14ac:dyDescent="0.2"/>
  <cols>
    <col min="1" max="1" width="26" customWidth="1"/>
    <col min="2" max="2" width="80" customWidth="1"/>
    <col min="3" max="3" width="32" customWidth="1"/>
    <col min="4" max="4" width="22" customWidth="1"/>
  </cols>
  <sheetData>
    <row r="1" spans="1:4" ht="18" x14ac:dyDescent="0.2">
      <c r="A1" s="1" t="s">
        <v>311</v>
      </c>
    </row>
    <row r="2" spans="1:4" x14ac:dyDescent="0.2">
      <c r="A2" s="2" t="s">
        <v>312</v>
      </c>
    </row>
    <row r="4" spans="1:4" ht="30" customHeight="1" x14ac:dyDescent="0.2">
      <c r="A4" s="3" t="s">
        <v>313</v>
      </c>
      <c r="B4" s="3" t="s">
        <v>314</v>
      </c>
      <c r="C4" s="3" t="s">
        <v>315</v>
      </c>
      <c r="D4" s="3" t="s">
        <v>316</v>
      </c>
    </row>
    <row r="5" spans="1:4" ht="28" x14ac:dyDescent="0.2">
      <c r="A5" s="60" t="s">
        <v>317</v>
      </c>
      <c r="B5" s="6" t="s">
        <v>318</v>
      </c>
      <c r="C5" s="6" t="s">
        <v>319</v>
      </c>
      <c r="D5" s="6" t="s">
        <v>320</v>
      </c>
    </row>
    <row r="6" spans="1:4" x14ac:dyDescent="0.2">
      <c r="A6" s="60" t="s">
        <v>321</v>
      </c>
      <c r="B6" s="6" t="s">
        <v>322</v>
      </c>
      <c r="C6" s="6" t="s">
        <v>323</v>
      </c>
      <c r="D6" s="6" t="s">
        <v>324</v>
      </c>
    </row>
    <row r="7" spans="1:4" x14ac:dyDescent="0.2">
      <c r="A7" s="60" t="s">
        <v>325</v>
      </c>
      <c r="B7" s="6" t="s">
        <v>326</v>
      </c>
      <c r="C7" s="6" t="s">
        <v>327</v>
      </c>
      <c r="D7" s="6" t="s">
        <v>328</v>
      </c>
    </row>
    <row r="8" spans="1:4" x14ac:dyDescent="0.2">
      <c r="A8" s="60" t="s">
        <v>329</v>
      </c>
      <c r="B8" s="6" t="s">
        <v>330</v>
      </c>
      <c r="C8" s="6" t="s">
        <v>331</v>
      </c>
      <c r="D8" s="6" t="s">
        <v>332</v>
      </c>
    </row>
    <row r="9" spans="1:4" x14ac:dyDescent="0.2">
      <c r="A9" s="9" t="s">
        <v>99</v>
      </c>
      <c r="B9" s="10" t="s">
        <v>333</v>
      </c>
      <c r="C9" s="10" t="s">
        <v>334</v>
      </c>
      <c r="D9" s="10" t="s">
        <v>335</v>
      </c>
    </row>
    <row r="10" spans="1:4" x14ac:dyDescent="0.2">
      <c r="A10" s="9" t="s">
        <v>336</v>
      </c>
      <c r="B10" s="10" t="s">
        <v>337</v>
      </c>
      <c r="C10" s="10" t="s">
        <v>338</v>
      </c>
      <c r="D10" s="10" t="s">
        <v>339</v>
      </c>
    </row>
    <row r="11" spans="1:4" x14ac:dyDescent="0.2">
      <c r="A11" s="9" t="s">
        <v>340</v>
      </c>
      <c r="B11" s="10" t="s">
        <v>341</v>
      </c>
      <c r="C11" s="10" t="s">
        <v>342</v>
      </c>
      <c r="D11" s="10" t="s">
        <v>343</v>
      </c>
    </row>
    <row r="12" spans="1:4" x14ac:dyDescent="0.2">
      <c r="A12" s="9" t="s">
        <v>344</v>
      </c>
      <c r="B12" s="10" t="s">
        <v>345</v>
      </c>
      <c r="C12" s="10" t="s">
        <v>346</v>
      </c>
      <c r="D12" s="10" t="s">
        <v>347</v>
      </c>
    </row>
    <row r="13" spans="1:4" ht="28" x14ac:dyDescent="0.2">
      <c r="A13" s="9" t="s">
        <v>348</v>
      </c>
      <c r="B13" s="10" t="s">
        <v>349</v>
      </c>
      <c r="C13" s="10" t="s">
        <v>350</v>
      </c>
      <c r="D13" s="10" t="s">
        <v>351</v>
      </c>
    </row>
    <row r="14" spans="1:4" x14ac:dyDescent="0.2">
      <c r="A14" s="9" t="s">
        <v>61</v>
      </c>
      <c r="B14" s="10" t="s">
        <v>352</v>
      </c>
      <c r="C14" s="10" t="s">
        <v>353</v>
      </c>
      <c r="D14" s="10" t="s">
        <v>354</v>
      </c>
    </row>
    <row r="15" spans="1:4" x14ac:dyDescent="0.2">
      <c r="A15" s="9" t="s">
        <v>69</v>
      </c>
      <c r="B15" s="10" t="s">
        <v>355</v>
      </c>
      <c r="C15" s="10" t="s">
        <v>24</v>
      </c>
      <c r="D15" s="10" t="s">
        <v>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6"/>
  <sheetViews>
    <sheetView showGridLines="0" zoomScaleNormal="100" workbookViewId="0"/>
  </sheetViews>
  <sheetFormatPr baseColWidth="10" defaultColWidth="8.6640625" defaultRowHeight="15" x14ac:dyDescent="0.2"/>
  <cols>
    <col min="1" max="1" width="5" customWidth="1"/>
    <col min="2" max="2" width="26" customWidth="1"/>
    <col min="3" max="3" width="110" customWidth="1"/>
    <col min="4" max="4" width="10" customWidth="1"/>
  </cols>
  <sheetData>
    <row r="1" spans="1:4" ht="18" x14ac:dyDescent="0.2">
      <c r="A1" s="1" t="s">
        <v>356</v>
      </c>
    </row>
    <row r="2" spans="1:4" x14ac:dyDescent="0.2">
      <c r="A2" s="2"/>
    </row>
    <row r="4" spans="1:4" ht="30" customHeight="1" x14ac:dyDescent="0.2">
      <c r="A4" s="3" t="s">
        <v>357</v>
      </c>
      <c r="B4" s="3" t="s">
        <v>358</v>
      </c>
      <c r="C4" s="3" t="s">
        <v>359</v>
      </c>
      <c r="D4" s="3" t="s">
        <v>360</v>
      </c>
    </row>
    <row r="5" spans="1:4" ht="28" x14ac:dyDescent="0.2">
      <c r="A5" s="33">
        <v>1</v>
      </c>
      <c r="B5" s="53" t="s">
        <v>361</v>
      </c>
      <c r="C5" s="34" t="s">
        <v>362</v>
      </c>
      <c r="D5" s="61" t="s">
        <v>363</v>
      </c>
    </row>
    <row r="6" spans="1:4" ht="28" x14ac:dyDescent="0.2">
      <c r="A6" s="33">
        <v>2</v>
      </c>
      <c r="B6" s="53" t="s">
        <v>364</v>
      </c>
      <c r="C6" s="34" t="s">
        <v>365</v>
      </c>
      <c r="D6" s="62" t="s">
        <v>366</v>
      </c>
    </row>
    <row r="7" spans="1:4" ht="28" x14ac:dyDescent="0.2">
      <c r="A7" s="33">
        <v>3</v>
      </c>
      <c r="B7" s="53" t="s">
        <v>367</v>
      </c>
      <c r="C7" s="34" t="s">
        <v>368</v>
      </c>
      <c r="D7" s="61" t="s">
        <v>363</v>
      </c>
    </row>
    <row r="8" spans="1:4" x14ac:dyDescent="0.2">
      <c r="A8" s="33">
        <v>4</v>
      </c>
      <c r="B8" s="53" t="s">
        <v>369</v>
      </c>
      <c r="C8" s="34" t="s">
        <v>370</v>
      </c>
      <c r="D8" s="62" t="s">
        <v>366</v>
      </c>
    </row>
    <row r="9" spans="1:4" x14ac:dyDescent="0.2">
      <c r="A9" s="33">
        <v>5</v>
      </c>
      <c r="B9" s="53" t="s">
        <v>371</v>
      </c>
      <c r="C9" s="34" t="s">
        <v>372</v>
      </c>
      <c r="D9" s="62" t="s">
        <v>366</v>
      </c>
    </row>
    <row r="10" spans="1:4" ht="28" x14ac:dyDescent="0.2">
      <c r="A10" s="33">
        <v>6</v>
      </c>
      <c r="B10" s="53" t="s">
        <v>373</v>
      </c>
      <c r="C10" s="34" t="s">
        <v>374</v>
      </c>
      <c r="D10" s="61" t="s">
        <v>363</v>
      </c>
    </row>
    <row r="11" spans="1:4" x14ac:dyDescent="0.2">
      <c r="A11" s="33">
        <v>7</v>
      </c>
      <c r="B11" s="53" t="s">
        <v>375</v>
      </c>
      <c r="C11" s="34" t="s">
        <v>376</v>
      </c>
      <c r="D11" s="62" t="s">
        <v>366</v>
      </c>
    </row>
    <row r="12" spans="1:4" ht="28" x14ac:dyDescent="0.2">
      <c r="A12" s="33">
        <v>8</v>
      </c>
      <c r="B12" s="53" t="s">
        <v>377</v>
      </c>
      <c r="C12" s="34" t="s">
        <v>378</v>
      </c>
      <c r="D12" s="62" t="s">
        <v>366</v>
      </c>
    </row>
    <row r="13" spans="1:4" x14ac:dyDescent="0.2">
      <c r="A13" s="33">
        <v>9</v>
      </c>
      <c r="B13" s="53" t="s">
        <v>379</v>
      </c>
      <c r="C13" s="34" t="s">
        <v>380</v>
      </c>
      <c r="D13" s="62" t="s">
        <v>366</v>
      </c>
    </row>
    <row r="14" spans="1:4" x14ac:dyDescent="0.2">
      <c r="A14" s="33">
        <v>10</v>
      </c>
      <c r="B14" s="53" t="s">
        <v>351</v>
      </c>
      <c r="C14" s="34" t="s">
        <v>381</v>
      </c>
      <c r="D14" s="61" t="s">
        <v>363</v>
      </c>
    </row>
    <row r="15" spans="1:4" x14ac:dyDescent="0.2">
      <c r="A15" s="33">
        <v>11</v>
      </c>
      <c r="B15" s="53" t="s">
        <v>382</v>
      </c>
      <c r="C15" s="34" t="s">
        <v>383</v>
      </c>
      <c r="D15" s="63" t="s">
        <v>384</v>
      </c>
    </row>
    <row r="16" spans="1:4" x14ac:dyDescent="0.2">
      <c r="A16" s="33">
        <v>12</v>
      </c>
      <c r="B16" s="53" t="s">
        <v>385</v>
      </c>
      <c r="C16" s="34" t="s">
        <v>386</v>
      </c>
      <c r="D16" s="62" t="s">
        <v>366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UP Holidays</vt:lpstr>
      <vt:lpstr>Route Plan</vt:lpstr>
      <vt:lpstr>Friday Calendar</vt:lpstr>
      <vt:lpstr>Route Matrix</vt:lpstr>
      <vt:lpstr>Weekly Rhythm</vt:lpstr>
      <vt:lpstr>Notes &amp; Risks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Bhavishya</cp:lastModifiedBy>
  <cp:revision>0</cp:revision>
  <dcterms:created xsi:type="dcterms:W3CDTF">2026-10-14T07:39:03Z</dcterms:created>
  <dcterms:modified xsi:type="dcterms:W3CDTF">2026-10-14T09:44:42Z</dcterms:modified>
  <dc:language>en-US</dc:language>
</cp:coreProperties>
</file>